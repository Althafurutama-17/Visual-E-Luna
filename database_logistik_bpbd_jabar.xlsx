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Data" sheetId="1" state="visible" r:id="rId1"/>
    <sheet xmlns:r="http://schemas.openxmlformats.org/officeDocument/2006/relationships" name="Penerimaan" sheetId="2" state="visible" r:id="rId2"/>
    <sheet xmlns:r="http://schemas.openxmlformats.org/officeDocument/2006/relationships" name="Distribusi" sheetId="3" state="visible" r:id="rId3"/>
    <sheet xmlns:r="http://schemas.openxmlformats.org/officeDocument/2006/relationships" name="Stok Awal" sheetId="4" state="visible" r:id="rId4"/>
    <sheet xmlns:r="http://schemas.openxmlformats.org/officeDocument/2006/relationships" name="Stok" sheetId="5" state="visible" r:id="rId5"/>
    <sheet xmlns:r="http://schemas.openxmlformats.org/officeDocument/2006/relationships" name="Kadaluwarsa" sheetId="6" state="visible" r:id="rId6"/>
    <sheet xmlns:r="http://schemas.openxmlformats.org/officeDocument/2006/relationships" name="Permohonan Daerah" sheetId="7" state="visible" r:id="rId7"/>
    <sheet xmlns:r="http://schemas.openxmlformats.org/officeDocument/2006/relationships" name="_Ref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Consolas"/>
      <b val="1"/>
      <color rgb="000E63AA"/>
      <sz val="9"/>
    </font>
  </fonts>
  <fills count="5">
    <fill>
      <patternFill/>
    </fill>
    <fill>
      <patternFill patternType="gray125"/>
    </fill>
    <fill>
      <patternFill patternType="solid">
        <fgColor rgb="000E63AA"/>
        <bgColor rgb="000E63AA"/>
      </patternFill>
    </fill>
    <fill>
      <patternFill patternType="solid">
        <fgColor rgb="00F8FAFC"/>
        <bgColor rgb="00F8FAFC"/>
      </patternFill>
    </fill>
    <fill>
      <patternFill patternType="solid">
        <fgColor rgb="00EEF2F6"/>
        <bgColor rgb="00EEF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E63AA"/>
      </top>
      <bottom style="double">
        <color rgb="000E63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3" fontId="3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4" borderId="2" pivotButton="0" quotePrefix="0" xfId="0"/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ListData" displayName="tblListData" ref="A1:L251" headerRowCount="1">
  <autoFilter ref="A1:L251"/>
  <tableColumns count="12">
    <tableColumn id="1" name="Sumber Pendanaan"/>
    <tableColumn id="2" name="Barang"/>
    <tableColumn id="3" name="Kategori Barang"/>
    <tableColumn id="4" name="Jumlah Masuk"/>
    <tableColumn id="5" name="Jumlah Keluar"/>
    <tableColumn id="6" name="Kab/Kota Tujuan"/>
    <tableColumn id="7" name="Tanggal Kadaluwarsa"/>
    <tableColumn id="8" name="Tanggal barang diterima"/>
    <tableColumn id="9" name="Tanggal barang dikeluarkan"/>
    <tableColumn id="10" name="Nomor Dokumen"/>
    <tableColumn id="11" name="Harga Satuan (Rp)"/>
    <tableColumn id="12" name="Nilai Total (Rp)"/>
  </tableColumns>
  <tableStyleInfo name="TableStyleLight1" showRowStripes="1"/>
</table>
</file>

<file path=xl/tables/table2.xml><?xml version="1.0" encoding="utf-8"?>
<table xmlns="http://schemas.openxmlformats.org/spreadsheetml/2006/main" id="2" name="tblPenerimaan" displayName="tblPenerimaan" ref="A1:I201" headerRowCount="1">
  <autoFilter ref="A1:I201"/>
  <tableColumns count="9">
    <tableColumn id="1" name="Sumber Pendanaan"/>
    <tableColumn id="2" name="Barang"/>
    <tableColumn id="3" name="Kategori Barang"/>
    <tableColumn id="4" name="Jumlah Masuk"/>
    <tableColumn id="5" name="Tanggal Kadaluwarsa"/>
    <tableColumn id="6" name="Tanggal barang diterima"/>
    <tableColumn id="7" name="Nomor Dokumen"/>
    <tableColumn id="8" name="Harga Satuan (Rp)"/>
    <tableColumn id="9" name="Nilai Total (Rp)"/>
  </tableColumns>
  <tableStyleInfo name="TableStyleLight1" showRowStripes="1"/>
</table>
</file>

<file path=xl/tables/table3.xml><?xml version="1.0" encoding="utf-8"?>
<table xmlns="http://schemas.openxmlformats.org/spreadsheetml/2006/main" id="3" name="tblDistribusi" displayName="tblDistribusi" ref="A1:I51" headerRowCount="1">
  <autoFilter ref="A1:I51"/>
  <tableColumns count="9">
    <tableColumn id="1" name="Sumber Pendanaan"/>
    <tableColumn id="2" name="Barang"/>
    <tableColumn id="3" name="Kategori Barang"/>
    <tableColumn id="4" name="Jumlah Keluar"/>
    <tableColumn id="5" name="Kab/Kota Tujuan"/>
    <tableColumn id="6" name="Tanggal barang dikeluarkan"/>
    <tableColumn id="7" name="Nomor Dokumen"/>
    <tableColumn id="8" name="Harga Satuan (Rp)"/>
    <tableColumn id="9" name="Nilai Total (Rp)"/>
  </tableColumns>
  <tableStyleInfo name="TableStyleLight1" showRowStripes="1"/>
</table>
</file>

<file path=xl/tables/table4.xml><?xml version="1.0" encoding="utf-8"?>
<table xmlns="http://schemas.openxmlformats.org/spreadsheetml/2006/main" id="4" name="tblStokAwal" displayName="tblStokAwal" ref="A1:G61" headerRowCount="1">
  <autoFilter ref="A1:G61"/>
  <tableColumns count="7">
    <tableColumn id="1" name="Kunci"/>
    <tableColumn id="2" name="Sumber Pendanaan"/>
    <tableColumn id="3" name="Barang"/>
    <tableColumn id="4" name="Kategori Barang"/>
    <tableColumn id="5" name="Stok Akhir Periode Sebelumnya"/>
    <tableColumn id="6" name="Harga Satuan (Rp)"/>
    <tableColumn id="7" name="Nilai Total (Rp)"/>
  </tableColumns>
  <tableStyleInfo name="TableStyleLight1" showRowStripes="1"/>
</table>
</file>

<file path=xl/tables/table5.xml><?xml version="1.0" encoding="utf-8"?>
<table xmlns="http://schemas.openxmlformats.org/spreadsheetml/2006/main" id="5" name="tblStok" displayName="tblStok" ref="A1:F61" headerRowCount="1">
  <autoFilter ref="A1:F61"/>
  <tableColumns count="6">
    <tableColumn id="1" name="Sumber Pendanaan"/>
    <tableColumn id="2" name="Barang"/>
    <tableColumn id="3" name="Kategori Barang"/>
    <tableColumn id="4" name="Stok Fisik"/>
    <tableColumn id="5" name="Harga Satuan (Rp)"/>
    <tableColumn id="6" name="Nilai Total Stok (Rp)"/>
  </tableColumns>
  <tableStyleInfo name="TableStyleLight1" showRowStripes="1"/>
</table>
</file>

<file path=xl/tables/table6.xml><?xml version="1.0" encoding="utf-8"?>
<table xmlns="http://schemas.openxmlformats.org/spreadsheetml/2006/main" id="6" name="tblKadaluwarsa" displayName="tblKadaluwarsa" ref="A1:H52" headerRowCount="1">
  <autoFilter ref="A1:H52"/>
  <tableColumns count="8">
    <tableColumn id="1" name="Sumber Pendanaan"/>
    <tableColumn id="2" name="Barang"/>
    <tableColumn id="3" name="Kategori Barang"/>
    <tableColumn id="4" name="Nomor Dokumen"/>
    <tableColumn id="5" name="Tanggal Kadaluwarsa"/>
    <tableColumn id="6" name="Status Kadaluwarsa"/>
    <tableColumn id="7" name="Sisa Hari"/>
    <tableColumn id="8" name="Harga Satuan (Rp)"/>
  </tableColumns>
  <tableStyleInfo name="TableStyleLight1" showRowStripes="1"/>
</table>
</file>

<file path=xl/tables/table7.xml><?xml version="1.0" encoding="utf-8"?>
<table xmlns="http://schemas.openxmlformats.org/spreadsheetml/2006/main" id="7" name="tblPermohonanDaerah" displayName="tblPermohonanDaerah" ref="A1:I89" headerRowCount="1">
  <autoFilter ref="A1:I89"/>
  <tableColumns count="9">
    <tableColumn id="1" name="Nomor Surat Permohonan"/>
    <tableColumn id="2" name="Tahun Anggaran"/>
    <tableColumn id="3" name="Tanggal Permohonan"/>
    <tableColumn id="4" name="Kab/Kota Pemohon"/>
    <tableColumn id="5" name="Kategori Barang"/>
    <tableColumn id="6" name="Barang"/>
    <tableColumn id="7" name="Jumlah Diminta (Unit)"/>
    <tableColumn id="8" name="Estimasi Harga Satuan (Rp)"/>
    <tableColumn id="9" name="Estimasi Nilai Total (Rp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6" customWidth="1" min="4" max="4"/>
    <col width="17" customWidth="1" min="5" max="5"/>
    <col width="27" customWidth="1" min="6" max="6"/>
    <col width="23" customWidth="1" min="7" max="7"/>
    <col width="27" customWidth="1" min="8" max="8"/>
    <col width="30" customWidth="1" min="9" max="9"/>
    <col width="21" customWidth="1" min="10" max="10"/>
    <col width="21" customWidth="1" min="11" max="11"/>
    <col width="20" customWidth="1" min="12" max="12"/>
  </cols>
  <sheetData>
    <row r="1" ht="26" customHeight="1">
      <c r="A1" s="1" t="inlineStr">
        <is>
          <t>Sumber Pendanaan</t>
        </is>
      </c>
      <c r="B1" s="1" t="inlineStr">
        <is>
          <t>Barang</t>
        </is>
      </c>
      <c r="C1" s="1" t="inlineStr">
        <is>
          <t>Kategori Barang</t>
        </is>
      </c>
      <c r="D1" s="1" t="inlineStr">
        <is>
          <t>Jumlah Masuk</t>
        </is>
      </c>
      <c r="E1" s="1" t="inlineStr">
        <is>
          <t>Jumlah Keluar</t>
        </is>
      </c>
      <c r="F1" s="1" t="inlineStr">
        <is>
          <t>Kab/Kota Tujuan</t>
        </is>
      </c>
      <c r="G1" s="1" t="inlineStr">
        <is>
          <t>Tanggal Kadaluwarsa</t>
        </is>
      </c>
      <c r="H1" s="1" t="inlineStr">
        <is>
          <t>Tanggal barang diterima</t>
        </is>
      </c>
      <c r="I1" s="1" t="inlineStr">
        <is>
          <t>Tanggal barang dikeluarkan</t>
        </is>
      </c>
      <c r="J1" s="1" t="inlineStr">
        <is>
          <t>Nomor Dokumen</t>
        </is>
      </c>
      <c r="K1" s="1" t="inlineStr">
        <is>
          <t>Harga Satuan (Rp)</t>
        </is>
      </c>
      <c r="L1" s="1" t="inlineStr">
        <is>
          <t>Nilai Total (Rp)</t>
        </is>
      </c>
    </row>
    <row r="2" ht="20" customHeight="1">
      <c r="A2" s="2" t="inlineStr">
        <is>
          <t>APBN</t>
        </is>
      </c>
      <c r="B2" s="3" t="inlineStr">
        <is>
          <t>Matras</t>
        </is>
      </c>
      <c r="C2" s="2" t="inlineStr">
        <is>
          <t>Sandang</t>
        </is>
      </c>
      <c r="D2" s="4" t="n">
        <v>600</v>
      </c>
      <c r="E2" s="4" t="n">
        <v>0</v>
      </c>
      <c r="F2" s="2" t="inlineStr">
        <is>
          <t>-</t>
        </is>
      </c>
      <c r="G2" s="2" t="n"/>
      <c r="H2" s="5" t="n">
        <v>45658</v>
      </c>
      <c r="I2" s="2" t="n"/>
      <c r="J2" s="6" t="inlineStr">
        <is>
          <t>BAST-2025-IN-0001</t>
        </is>
      </c>
      <c r="K2" s="4" t="n">
        <v>120000</v>
      </c>
      <c r="L2" s="4" t="n">
        <v>72000000</v>
      </c>
    </row>
    <row r="3" ht="20" customHeight="1">
      <c r="A3" s="7" t="inlineStr">
        <is>
          <t>APBN</t>
        </is>
      </c>
      <c r="B3" s="8" t="inlineStr">
        <is>
          <t>Matras</t>
        </is>
      </c>
      <c r="C3" s="7" t="inlineStr">
        <is>
          <t>Sandang</t>
        </is>
      </c>
      <c r="D3" s="9" t="n">
        <v>800</v>
      </c>
      <c r="E3" s="9" t="n">
        <v>0</v>
      </c>
      <c r="F3" s="7" t="inlineStr">
        <is>
          <t>-</t>
        </is>
      </c>
      <c r="G3" s="7" t="n"/>
      <c r="H3" s="10" t="n">
        <v>45661</v>
      </c>
      <c r="I3" s="7" t="n"/>
      <c r="J3" s="11" t="inlineStr">
        <is>
          <t>BAST-2025-IN-0002</t>
        </is>
      </c>
      <c r="K3" s="9" t="n">
        <v>120000</v>
      </c>
      <c r="L3" s="9" t="n">
        <v>96000000</v>
      </c>
    </row>
    <row r="4" ht="20" customHeight="1">
      <c r="A4" s="2" t="inlineStr">
        <is>
          <t>APBN</t>
        </is>
      </c>
      <c r="B4" s="3" t="inlineStr">
        <is>
          <t>Genset</t>
        </is>
      </c>
      <c r="C4" s="2" t="inlineStr">
        <is>
          <t>Logistik Lainnya</t>
        </is>
      </c>
      <c r="D4" s="4" t="n">
        <v>20</v>
      </c>
      <c r="E4" s="4" t="n">
        <v>0</v>
      </c>
      <c r="F4" s="2" t="inlineStr">
        <is>
          <t>-</t>
        </is>
      </c>
      <c r="G4" s="2" t="n"/>
      <c r="H4" s="5" t="n">
        <v>45664</v>
      </c>
      <c r="I4" s="2" t="n"/>
      <c r="J4" s="6" t="inlineStr">
        <is>
          <t>BAST-2025-IN-0003</t>
        </is>
      </c>
      <c r="K4" s="4" t="n">
        <v>12500000</v>
      </c>
      <c r="L4" s="4" t="n">
        <v>250000000</v>
      </c>
    </row>
    <row r="5" ht="20" customHeight="1">
      <c r="A5" s="7" t="inlineStr">
        <is>
          <t>APBD</t>
        </is>
      </c>
      <c r="B5" s="8" t="inlineStr">
        <is>
          <t>Perahu Karet</t>
        </is>
      </c>
      <c r="C5" s="7" t="inlineStr">
        <is>
          <t>Logistik Lainnya</t>
        </is>
      </c>
      <c r="D5" s="9" t="n">
        <v>8</v>
      </c>
      <c r="E5" s="9" t="n">
        <v>0</v>
      </c>
      <c r="F5" s="7" t="inlineStr">
        <is>
          <t>-</t>
        </is>
      </c>
      <c r="G5" s="7" t="n"/>
      <c r="H5" s="10" t="n">
        <v>45665</v>
      </c>
      <c r="I5" s="7" t="n"/>
      <c r="J5" s="11" t="inlineStr">
        <is>
          <t>BAST-2025-IN-0004</t>
        </is>
      </c>
      <c r="K5" s="9" t="n">
        <v>35000000</v>
      </c>
      <c r="L5" s="9" t="n">
        <v>280000000</v>
      </c>
    </row>
    <row r="6" ht="20" customHeight="1">
      <c r="A6" s="2" t="inlineStr">
        <is>
          <t>CSR</t>
        </is>
      </c>
      <c r="B6" s="3" t="inlineStr">
        <is>
          <t>Pakaian Anak</t>
        </is>
      </c>
      <c r="C6" s="2" t="inlineStr">
        <is>
          <t>Sandang</t>
        </is>
      </c>
      <c r="D6" s="4" t="n">
        <v>1600</v>
      </c>
      <c r="E6" s="4" t="n">
        <v>0</v>
      </c>
      <c r="F6" s="2" t="inlineStr">
        <is>
          <t>-</t>
        </is>
      </c>
      <c r="G6" s="2" t="n"/>
      <c r="H6" s="5" t="n">
        <v>45669</v>
      </c>
      <c r="I6" s="2" t="n"/>
      <c r="J6" s="6" t="inlineStr">
        <is>
          <t>BAST-2025-IN-0005</t>
        </is>
      </c>
      <c r="K6" s="4" t="n">
        <v>75000</v>
      </c>
      <c r="L6" s="4" t="n">
        <v>120000000</v>
      </c>
    </row>
    <row r="7" ht="20" customHeight="1">
      <c r="A7" s="7" t="inlineStr">
        <is>
          <t>CSR</t>
        </is>
      </c>
      <c r="B7" s="8" t="inlineStr">
        <is>
          <t>Family Kit</t>
        </is>
      </c>
      <c r="C7" s="7" t="inlineStr">
        <is>
          <t>Logistik Lainnya</t>
        </is>
      </c>
      <c r="D7" s="9" t="n">
        <v>1050</v>
      </c>
      <c r="E7" s="9" t="n">
        <v>0</v>
      </c>
      <c r="F7" s="7" t="inlineStr">
        <is>
          <t>-</t>
        </is>
      </c>
      <c r="G7" s="7" t="n"/>
      <c r="H7" s="10" t="n">
        <v>45677</v>
      </c>
      <c r="I7" s="7" t="n"/>
      <c r="J7" s="11" t="inlineStr">
        <is>
          <t>BAST-2025-IN-0006</t>
        </is>
      </c>
      <c r="K7" s="9" t="n">
        <v>350000</v>
      </c>
      <c r="L7" s="9" t="n">
        <v>367500000</v>
      </c>
    </row>
    <row r="8" ht="20" customHeight="1">
      <c r="A8" s="2" t="inlineStr">
        <is>
          <t>APBN</t>
        </is>
      </c>
      <c r="B8" s="3" t="inlineStr">
        <is>
          <t>Perahu Karet</t>
        </is>
      </c>
      <c r="C8" s="2" t="inlineStr">
        <is>
          <t>Logistik Lainnya</t>
        </is>
      </c>
      <c r="D8" s="4" t="n">
        <v>15</v>
      </c>
      <c r="E8" s="4" t="n">
        <v>0</v>
      </c>
      <c r="F8" s="2" t="inlineStr">
        <is>
          <t>-</t>
        </is>
      </c>
      <c r="G8" s="2" t="n"/>
      <c r="H8" s="5" t="n">
        <v>45679</v>
      </c>
      <c r="I8" s="2" t="n"/>
      <c r="J8" s="6" t="inlineStr">
        <is>
          <t>BAST-2025-IN-0007</t>
        </is>
      </c>
      <c r="K8" s="4" t="n">
        <v>35000000</v>
      </c>
      <c r="L8" s="4" t="n">
        <v>525000000</v>
      </c>
    </row>
    <row r="9" ht="20" customHeight="1">
      <c r="A9" s="7" t="inlineStr">
        <is>
          <t>APBN</t>
        </is>
      </c>
      <c r="B9" s="8" t="inlineStr">
        <is>
          <t>Pakaian Dewasa</t>
        </is>
      </c>
      <c r="C9" s="7" t="inlineStr">
        <is>
          <t>Sandang</t>
        </is>
      </c>
      <c r="D9" s="9" t="n">
        <v>550</v>
      </c>
      <c r="E9" s="9" t="n">
        <v>0</v>
      </c>
      <c r="F9" s="7" t="inlineStr">
        <is>
          <t>-</t>
        </is>
      </c>
      <c r="G9" s="7" t="n"/>
      <c r="H9" s="10" t="n">
        <v>45683</v>
      </c>
      <c r="I9" s="7" t="n"/>
      <c r="J9" s="11" t="inlineStr">
        <is>
          <t>BAST-2025-IN-0008</t>
        </is>
      </c>
      <c r="K9" s="9" t="n">
        <v>95000</v>
      </c>
      <c r="L9" s="9" t="n">
        <v>52250000</v>
      </c>
    </row>
    <row r="10" ht="20" customHeight="1">
      <c r="A10" s="2" t="inlineStr">
        <is>
          <t>APBD</t>
        </is>
      </c>
      <c r="B10" s="3" t="inlineStr">
        <is>
          <t>Tenda Pengungsi</t>
        </is>
      </c>
      <c r="C10" s="2" t="inlineStr">
        <is>
          <t>Papan</t>
        </is>
      </c>
      <c r="D10" s="4" t="n">
        <v>110</v>
      </c>
      <c r="E10" s="4" t="n">
        <v>0</v>
      </c>
      <c r="F10" s="2" t="inlineStr">
        <is>
          <t>-</t>
        </is>
      </c>
      <c r="G10" s="2" t="n"/>
      <c r="H10" s="5" t="n">
        <v>45685</v>
      </c>
      <c r="I10" s="2" t="n"/>
      <c r="J10" s="6" t="inlineStr">
        <is>
          <t>BAST-2025-IN-0009</t>
        </is>
      </c>
      <c r="K10" s="4" t="n">
        <v>8500000</v>
      </c>
      <c r="L10" s="4" t="n">
        <v>935000000</v>
      </c>
    </row>
    <row r="11" ht="20" customHeight="1">
      <c r="A11" s="7" t="inlineStr">
        <is>
          <t>APBD</t>
        </is>
      </c>
      <c r="B11" s="8" t="inlineStr">
        <is>
          <t>Seng</t>
        </is>
      </c>
      <c r="C11" s="7" t="inlineStr">
        <is>
          <t>Papan</t>
        </is>
      </c>
      <c r="D11" s="9" t="n">
        <v>1950</v>
      </c>
      <c r="E11" s="9" t="n">
        <v>0</v>
      </c>
      <c r="F11" s="7" t="inlineStr">
        <is>
          <t>-</t>
        </is>
      </c>
      <c r="G11" s="7" t="n"/>
      <c r="H11" s="10" t="n">
        <v>45688</v>
      </c>
      <c r="I11" s="7" t="n"/>
      <c r="J11" s="11" t="inlineStr">
        <is>
          <t>BAST-2025-IN-0010</t>
        </is>
      </c>
      <c r="K11" s="9" t="n">
        <v>90000</v>
      </c>
      <c r="L11" s="9" t="n">
        <v>175500000</v>
      </c>
    </row>
    <row r="12" ht="20" customHeight="1">
      <c r="A12" s="2" t="inlineStr">
        <is>
          <t>APBN</t>
        </is>
      </c>
      <c r="B12" s="3" t="inlineStr">
        <is>
          <t>Pakaian Dewasa</t>
        </is>
      </c>
      <c r="C12" s="2" t="inlineStr">
        <is>
          <t>Sandang</t>
        </is>
      </c>
      <c r="D12" s="4" t="n">
        <v>400</v>
      </c>
      <c r="E12" s="4" t="n">
        <v>0</v>
      </c>
      <c r="F12" s="2" t="inlineStr">
        <is>
          <t>-</t>
        </is>
      </c>
      <c r="G12" s="2" t="n"/>
      <c r="H12" s="5" t="n">
        <v>45690</v>
      </c>
      <c r="I12" s="2" t="n"/>
      <c r="J12" s="6" t="inlineStr">
        <is>
          <t>BAST-2025-IN-0011</t>
        </is>
      </c>
      <c r="K12" s="4" t="n">
        <v>95000</v>
      </c>
      <c r="L12" s="4" t="n">
        <v>38000000</v>
      </c>
    </row>
    <row r="13" ht="20" customHeight="1">
      <c r="A13" s="7" t="inlineStr">
        <is>
          <t>APBD</t>
        </is>
      </c>
      <c r="B13" s="8" t="inlineStr">
        <is>
          <t>Air Mineral</t>
        </is>
      </c>
      <c r="C13" s="7" t="inlineStr">
        <is>
          <t>Pangan</t>
        </is>
      </c>
      <c r="D13" s="9" t="n">
        <v>1350</v>
      </c>
      <c r="E13" s="9" t="n">
        <v>0</v>
      </c>
      <c r="F13" s="7" t="inlineStr">
        <is>
          <t>-</t>
        </is>
      </c>
      <c r="G13" s="10" t="n">
        <v>46558</v>
      </c>
      <c r="H13" s="10" t="n">
        <v>45690</v>
      </c>
      <c r="I13" s="7" t="n"/>
      <c r="J13" s="11" t="inlineStr">
        <is>
          <t>BAST-2025-IN-0012</t>
        </is>
      </c>
      <c r="K13" s="9" t="n">
        <v>30000</v>
      </c>
      <c r="L13" s="9" t="n">
        <v>40500000</v>
      </c>
    </row>
    <row r="14" ht="20" customHeight="1">
      <c r="A14" s="2" t="inlineStr">
        <is>
          <t>APBN</t>
        </is>
      </c>
      <c r="B14" s="3" t="inlineStr">
        <is>
          <t>Terpal</t>
        </is>
      </c>
      <c r="C14" s="2" t="inlineStr">
        <is>
          <t>Papan</t>
        </is>
      </c>
      <c r="D14" s="4" t="n">
        <v>450</v>
      </c>
      <c r="E14" s="4" t="n">
        <v>0</v>
      </c>
      <c r="F14" s="2" t="inlineStr">
        <is>
          <t>-</t>
        </is>
      </c>
      <c r="G14" s="2" t="n"/>
      <c r="H14" s="5" t="n">
        <v>45702</v>
      </c>
      <c r="I14" s="2" t="n"/>
      <c r="J14" s="6" t="inlineStr">
        <is>
          <t>BAST-2025-IN-0013</t>
        </is>
      </c>
      <c r="K14" s="4" t="n">
        <v>150000</v>
      </c>
      <c r="L14" s="4" t="n">
        <v>67500000</v>
      </c>
    </row>
    <row r="15" ht="20" customHeight="1">
      <c r="A15" s="7" t="inlineStr">
        <is>
          <t>APBD</t>
        </is>
      </c>
      <c r="B15" s="8" t="inlineStr">
        <is>
          <t>Seng</t>
        </is>
      </c>
      <c r="C15" s="7" t="inlineStr">
        <is>
          <t>Papan</t>
        </is>
      </c>
      <c r="D15" s="9" t="n">
        <v>700</v>
      </c>
      <c r="E15" s="9" t="n">
        <v>0</v>
      </c>
      <c r="F15" s="7" t="inlineStr">
        <is>
          <t>-</t>
        </is>
      </c>
      <c r="G15" s="7" t="n"/>
      <c r="H15" s="10" t="n">
        <v>45704</v>
      </c>
      <c r="I15" s="7" t="n"/>
      <c r="J15" s="11" t="inlineStr">
        <is>
          <t>BAST-2025-IN-0014</t>
        </is>
      </c>
      <c r="K15" s="9" t="n">
        <v>90000</v>
      </c>
      <c r="L15" s="9" t="n">
        <v>63000000</v>
      </c>
    </row>
    <row r="16" ht="20" customHeight="1">
      <c r="A16" s="2" t="inlineStr">
        <is>
          <t>APBN</t>
        </is>
      </c>
      <c r="B16" s="3" t="inlineStr">
        <is>
          <t>Seng</t>
        </is>
      </c>
      <c r="C16" s="2" t="inlineStr">
        <is>
          <t>Papan</t>
        </is>
      </c>
      <c r="D16" s="4" t="n">
        <v>1850</v>
      </c>
      <c r="E16" s="4" t="n">
        <v>0</v>
      </c>
      <c r="F16" s="2" t="inlineStr">
        <is>
          <t>-</t>
        </is>
      </c>
      <c r="G16" s="2" t="n"/>
      <c r="H16" s="5" t="n">
        <v>45706</v>
      </c>
      <c r="I16" s="2" t="n"/>
      <c r="J16" s="6" t="inlineStr">
        <is>
          <t>BAST-2025-IN-0015</t>
        </is>
      </c>
      <c r="K16" s="4" t="n">
        <v>90000</v>
      </c>
      <c r="L16" s="4" t="n">
        <v>166500000</v>
      </c>
    </row>
    <row r="17" ht="20" customHeight="1">
      <c r="A17" s="7" t="inlineStr">
        <is>
          <t>CSR</t>
        </is>
      </c>
      <c r="B17" s="8" t="inlineStr">
        <is>
          <t>Pakaian Dewasa</t>
        </is>
      </c>
      <c r="C17" s="7" t="inlineStr">
        <is>
          <t>Sandang</t>
        </is>
      </c>
      <c r="D17" s="9" t="n">
        <v>400</v>
      </c>
      <c r="E17" s="9" t="n">
        <v>0</v>
      </c>
      <c r="F17" s="7" t="inlineStr">
        <is>
          <t>-</t>
        </is>
      </c>
      <c r="G17" s="7" t="n"/>
      <c r="H17" s="10" t="n">
        <v>45715</v>
      </c>
      <c r="I17" s="7" t="n"/>
      <c r="J17" s="11" t="inlineStr">
        <is>
          <t>BAST-2025-IN-0016</t>
        </is>
      </c>
      <c r="K17" s="9" t="n">
        <v>95000</v>
      </c>
      <c r="L17" s="9" t="n">
        <v>38000000</v>
      </c>
    </row>
    <row r="18" ht="20" customHeight="1">
      <c r="A18" s="2" t="inlineStr">
        <is>
          <t>CSR</t>
        </is>
      </c>
      <c r="B18" s="3" t="inlineStr">
        <is>
          <t>Selimut</t>
        </is>
      </c>
      <c r="C18" s="2" t="inlineStr">
        <is>
          <t>Sandang</t>
        </is>
      </c>
      <c r="D18" s="4" t="n">
        <v>350</v>
      </c>
      <c r="E18" s="4" t="n">
        <v>0</v>
      </c>
      <c r="F18" s="2" t="inlineStr">
        <is>
          <t>-</t>
        </is>
      </c>
      <c r="G18" s="2" t="n"/>
      <c r="H18" s="5" t="n">
        <v>45717</v>
      </c>
      <c r="I18" s="2" t="n"/>
      <c r="J18" s="6" t="inlineStr">
        <is>
          <t>BAST-2025-IN-0017</t>
        </is>
      </c>
      <c r="K18" s="4" t="n">
        <v>85000</v>
      </c>
      <c r="L18" s="4" t="n">
        <v>29750000</v>
      </c>
    </row>
    <row r="19" ht="20" customHeight="1">
      <c r="A19" s="7" t="inlineStr">
        <is>
          <t>APBN</t>
        </is>
      </c>
      <c r="B19" s="8" t="inlineStr">
        <is>
          <t>Beras</t>
        </is>
      </c>
      <c r="C19" s="7" t="inlineStr">
        <is>
          <t>Pangan</t>
        </is>
      </c>
      <c r="D19" s="9" t="n">
        <v>7650</v>
      </c>
      <c r="E19" s="9" t="n">
        <v>0</v>
      </c>
      <c r="F19" s="7" t="inlineStr">
        <is>
          <t>-</t>
        </is>
      </c>
      <c r="G19" s="10" t="n">
        <v>46384</v>
      </c>
      <c r="H19" s="10" t="n">
        <v>45723</v>
      </c>
      <c r="I19" s="7" t="n"/>
      <c r="J19" s="11" t="inlineStr">
        <is>
          <t>BAST-2025-IN-0018</t>
        </is>
      </c>
      <c r="K19" s="9" t="n">
        <v>15000</v>
      </c>
      <c r="L19" s="9" t="n">
        <v>114750000</v>
      </c>
    </row>
    <row r="20" ht="20" customHeight="1">
      <c r="A20" s="2" t="inlineStr">
        <is>
          <t>APBN</t>
        </is>
      </c>
      <c r="B20" s="3" t="inlineStr">
        <is>
          <t>Beras</t>
        </is>
      </c>
      <c r="C20" s="2" t="inlineStr">
        <is>
          <t>Pangan</t>
        </is>
      </c>
      <c r="D20" s="4" t="n">
        <v>7200</v>
      </c>
      <c r="E20" s="4" t="n">
        <v>0</v>
      </c>
      <c r="F20" s="2" t="inlineStr">
        <is>
          <t>-</t>
        </is>
      </c>
      <c r="G20" s="5" t="n">
        <v>46411</v>
      </c>
      <c r="H20" s="5" t="n">
        <v>45723</v>
      </c>
      <c r="I20" s="2" t="n"/>
      <c r="J20" s="6" t="inlineStr">
        <is>
          <t>BAST-2025-IN-0019</t>
        </is>
      </c>
      <c r="K20" s="4" t="n">
        <v>15000</v>
      </c>
      <c r="L20" s="4" t="n">
        <v>108000000</v>
      </c>
    </row>
    <row r="21" ht="20" customHeight="1">
      <c r="A21" s="7" t="inlineStr">
        <is>
          <t>APBD</t>
        </is>
      </c>
      <c r="B21" s="8" t="inlineStr">
        <is>
          <t>Terpal</t>
        </is>
      </c>
      <c r="C21" s="7" t="inlineStr">
        <is>
          <t>Papan</t>
        </is>
      </c>
      <c r="D21" s="9" t="n">
        <v>1050</v>
      </c>
      <c r="E21" s="9" t="n">
        <v>0</v>
      </c>
      <c r="F21" s="7" t="inlineStr">
        <is>
          <t>-</t>
        </is>
      </c>
      <c r="G21" s="7" t="n"/>
      <c r="H21" s="10" t="n">
        <v>45725</v>
      </c>
      <c r="I21" s="7" t="n"/>
      <c r="J21" s="11" t="inlineStr">
        <is>
          <t>BAST-2025-IN-0020</t>
        </is>
      </c>
      <c r="K21" s="9" t="n">
        <v>150000</v>
      </c>
      <c r="L21" s="9" t="n">
        <v>157500000</v>
      </c>
    </row>
    <row r="22" ht="20" customHeight="1">
      <c r="A22" s="2" t="inlineStr">
        <is>
          <t>APBN</t>
        </is>
      </c>
      <c r="B22" s="3" t="inlineStr">
        <is>
          <t>Makanan Siap Saji</t>
        </is>
      </c>
      <c r="C22" s="2" t="inlineStr">
        <is>
          <t>Pangan</t>
        </is>
      </c>
      <c r="D22" s="4" t="n">
        <v>2900</v>
      </c>
      <c r="E22" s="4" t="n">
        <v>0</v>
      </c>
      <c r="F22" s="2" t="inlineStr">
        <is>
          <t>-</t>
        </is>
      </c>
      <c r="G22" s="5" t="n">
        <v>46267</v>
      </c>
      <c r="H22" s="5" t="n">
        <v>45728</v>
      </c>
      <c r="I22" s="2" t="n"/>
      <c r="J22" s="6" t="inlineStr">
        <is>
          <t>BAST-2025-IN-0021</t>
        </is>
      </c>
      <c r="K22" s="4" t="n">
        <v>45000</v>
      </c>
      <c r="L22" s="4" t="n">
        <v>130500000</v>
      </c>
    </row>
    <row r="23" ht="20" customHeight="1">
      <c r="A23" s="7" t="inlineStr">
        <is>
          <t>APBD</t>
        </is>
      </c>
      <c r="B23" s="8" t="inlineStr">
        <is>
          <t>Matras</t>
        </is>
      </c>
      <c r="C23" s="7" t="inlineStr">
        <is>
          <t>Sandang</t>
        </is>
      </c>
      <c r="D23" s="9" t="n">
        <v>250</v>
      </c>
      <c r="E23" s="9" t="n">
        <v>0</v>
      </c>
      <c r="F23" s="7" t="inlineStr">
        <is>
          <t>-</t>
        </is>
      </c>
      <c r="G23" s="7" t="n"/>
      <c r="H23" s="10" t="n">
        <v>45729</v>
      </c>
      <c r="I23" s="7" t="n"/>
      <c r="J23" s="11" t="inlineStr">
        <is>
          <t>BAST-2025-IN-0022</t>
        </is>
      </c>
      <c r="K23" s="9" t="n">
        <v>120000</v>
      </c>
      <c r="L23" s="9" t="n">
        <v>30000000</v>
      </c>
    </row>
    <row r="24" ht="20" customHeight="1">
      <c r="A24" s="2" t="inlineStr">
        <is>
          <t>CSR</t>
        </is>
      </c>
      <c r="B24" s="3" t="inlineStr">
        <is>
          <t>Perahu Karet</t>
        </is>
      </c>
      <c r="C24" s="2" t="inlineStr">
        <is>
          <t>Logistik Lainnya</t>
        </is>
      </c>
      <c r="D24" s="4" t="n">
        <v>18</v>
      </c>
      <c r="E24" s="4" t="n">
        <v>0</v>
      </c>
      <c r="F24" s="2" t="inlineStr">
        <is>
          <t>-</t>
        </is>
      </c>
      <c r="G24" s="2" t="n"/>
      <c r="H24" s="5" t="n">
        <v>45731</v>
      </c>
      <c r="I24" s="2" t="n"/>
      <c r="J24" s="6" t="inlineStr">
        <is>
          <t>BAST-2025-IN-0023</t>
        </is>
      </c>
      <c r="K24" s="4" t="n">
        <v>35000000</v>
      </c>
      <c r="L24" s="4" t="n">
        <v>630000000</v>
      </c>
    </row>
    <row r="25" ht="20" customHeight="1">
      <c r="A25" s="7" t="inlineStr">
        <is>
          <t>APBN</t>
        </is>
      </c>
      <c r="B25" s="8" t="inlineStr">
        <is>
          <t>Lauk Pauk</t>
        </is>
      </c>
      <c r="C25" s="7" t="inlineStr">
        <is>
          <t>Pangan</t>
        </is>
      </c>
      <c r="D25" s="9" t="n">
        <v>0</v>
      </c>
      <c r="E25" s="9" t="n">
        <v>300</v>
      </c>
      <c r="F25" s="7" t="inlineStr">
        <is>
          <t>Kabupaten Bandung Barat</t>
        </is>
      </c>
      <c r="G25" s="7" t="n"/>
      <c r="H25" s="7" t="n"/>
      <c r="I25" s="10" t="n">
        <v>45733</v>
      </c>
      <c r="J25" s="11" t="inlineStr">
        <is>
          <t>SJ-2025-OUT-0001</t>
        </is>
      </c>
      <c r="K25" s="9" t="n">
        <v>35000</v>
      </c>
      <c r="L25" s="9" t="n">
        <v>10500000</v>
      </c>
    </row>
    <row r="26" ht="20" customHeight="1">
      <c r="A26" s="2" t="inlineStr">
        <is>
          <t>CSR</t>
        </is>
      </c>
      <c r="B26" s="3" t="inlineStr">
        <is>
          <t>Beras</t>
        </is>
      </c>
      <c r="C26" s="2" t="inlineStr">
        <is>
          <t>Pangan</t>
        </is>
      </c>
      <c r="D26" s="4" t="n">
        <v>1900</v>
      </c>
      <c r="E26" s="4" t="n">
        <v>0</v>
      </c>
      <c r="F26" s="2" t="inlineStr">
        <is>
          <t>-</t>
        </is>
      </c>
      <c r="G26" s="2" t="n"/>
      <c r="H26" s="5" t="n">
        <v>45738</v>
      </c>
      <c r="I26" s="2" t="n"/>
      <c r="J26" s="6" t="inlineStr">
        <is>
          <t>BAST-2025-IN-0024</t>
        </is>
      </c>
      <c r="K26" s="4" t="n">
        <v>15000</v>
      </c>
      <c r="L26" s="4" t="n">
        <v>28500000</v>
      </c>
    </row>
    <row r="27" ht="20" customHeight="1">
      <c r="A27" s="7" t="inlineStr">
        <is>
          <t>APBN</t>
        </is>
      </c>
      <c r="B27" s="8" t="inlineStr">
        <is>
          <t>Beras</t>
        </is>
      </c>
      <c r="C27" s="7" t="inlineStr">
        <is>
          <t>Pangan</t>
        </is>
      </c>
      <c r="D27" s="9" t="n">
        <v>2100</v>
      </c>
      <c r="E27" s="9" t="n">
        <v>0</v>
      </c>
      <c r="F27" s="7" t="inlineStr">
        <is>
          <t>-</t>
        </is>
      </c>
      <c r="G27" s="10" t="n">
        <v>46314</v>
      </c>
      <c r="H27" s="10" t="n">
        <v>45738</v>
      </c>
      <c r="I27" s="7" t="n"/>
      <c r="J27" s="11" t="inlineStr">
        <is>
          <t>BAST-2025-IN-0025</t>
        </is>
      </c>
      <c r="K27" s="9" t="n">
        <v>15000</v>
      </c>
      <c r="L27" s="9" t="n">
        <v>31500000</v>
      </c>
    </row>
    <row r="28" ht="20" customHeight="1">
      <c r="A28" s="2" t="inlineStr">
        <is>
          <t>APBD</t>
        </is>
      </c>
      <c r="B28" s="3" t="inlineStr">
        <is>
          <t>Pakaian Dewasa</t>
        </is>
      </c>
      <c r="C28" s="2" t="inlineStr">
        <is>
          <t>Sandang</t>
        </is>
      </c>
      <c r="D28" s="4" t="n">
        <v>1200</v>
      </c>
      <c r="E28" s="4" t="n">
        <v>0</v>
      </c>
      <c r="F28" s="2" t="inlineStr">
        <is>
          <t>-</t>
        </is>
      </c>
      <c r="G28" s="2" t="n"/>
      <c r="H28" s="5" t="n">
        <v>45739</v>
      </c>
      <c r="I28" s="2" t="n"/>
      <c r="J28" s="6" t="inlineStr">
        <is>
          <t>BAST-2025-IN-0026</t>
        </is>
      </c>
      <c r="K28" s="4" t="n">
        <v>95000</v>
      </c>
      <c r="L28" s="4" t="n">
        <v>114000000</v>
      </c>
    </row>
    <row r="29" ht="20" customHeight="1">
      <c r="A29" s="7" t="inlineStr">
        <is>
          <t>CSR</t>
        </is>
      </c>
      <c r="B29" s="8" t="inlineStr">
        <is>
          <t>Sanitasi Kit</t>
        </is>
      </c>
      <c r="C29" s="7" t="inlineStr">
        <is>
          <t>Logistik Lainnya</t>
        </is>
      </c>
      <c r="D29" s="9" t="n">
        <v>150</v>
      </c>
      <c r="E29" s="9" t="n">
        <v>0</v>
      </c>
      <c r="F29" s="7" t="inlineStr">
        <is>
          <t>-</t>
        </is>
      </c>
      <c r="G29" s="10" t="n">
        <v>46468</v>
      </c>
      <c r="H29" s="10" t="n">
        <v>45745</v>
      </c>
      <c r="I29" s="7" t="n"/>
      <c r="J29" s="11" t="inlineStr">
        <is>
          <t>BAST-2025-IN-0027</t>
        </is>
      </c>
      <c r="K29" s="9" t="n">
        <v>250000</v>
      </c>
      <c r="L29" s="9" t="n">
        <v>37500000</v>
      </c>
    </row>
    <row r="30" ht="20" customHeight="1">
      <c r="A30" s="2" t="inlineStr">
        <is>
          <t>APBD</t>
        </is>
      </c>
      <c r="B30" s="3" t="inlineStr">
        <is>
          <t>Biskuit</t>
        </is>
      </c>
      <c r="C30" s="2" t="inlineStr">
        <is>
          <t>Pangan</t>
        </is>
      </c>
      <c r="D30" s="4" t="n">
        <v>1100</v>
      </c>
      <c r="E30" s="4" t="n">
        <v>0</v>
      </c>
      <c r="F30" s="2" t="inlineStr">
        <is>
          <t>-</t>
        </is>
      </c>
      <c r="G30" s="2" t="n"/>
      <c r="H30" s="5" t="n">
        <v>45747</v>
      </c>
      <c r="I30" s="2" t="n"/>
      <c r="J30" s="6" t="inlineStr">
        <is>
          <t>BAST-2025-IN-0028</t>
        </is>
      </c>
      <c r="K30" s="4" t="n">
        <v>25000</v>
      </c>
      <c r="L30" s="4" t="n">
        <v>27500000</v>
      </c>
    </row>
    <row r="31" ht="20" customHeight="1">
      <c r="A31" s="7" t="inlineStr">
        <is>
          <t>APBD</t>
        </is>
      </c>
      <c r="B31" s="8" t="inlineStr">
        <is>
          <t>Susu Formula</t>
        </is>
      </c>
      <c r="C31" s="7" t="inlineStr">
        <is>
          <t>Pangan</t>
        </is>
      </c>
      <c r="D31" s="9" t="n">
        <v>600</v>
      </c>
      <c r="E31" s="9" t="n">
        <v>0</v>
      </c>
      <c r="F31" s="7" t="inlineStr">
        <is>
          <t>-</t>
        </is>
      </c>
      <c r="G31" s="10" t="n">
        <v>46177</v>
      </c>
      <c r="H31" s="10" t="n">
        <v>45751</v>
      </c>
      <c r="I31" s="7" t="n"/>
      <c r="J31" s="11" t="inlineStr">
        <is>
          <t>BAST-2025-IN-0029</t>
        </is>
      </c>
      <c r="K31" s="9" t="n">
        <v>65000</v>
      </c>
      <c r="L31" s="9" t="n">
        <v>39000000</v>
      </c>
    </row>
    <row r="32" ht="20" customHeight="1">
      <c r="A32" s="2" t="inlineStr">
        <is>
          <t>APBD</t>
        </is>
      </c>
      <c r="B32" s="3" t="inlineStr">
        <is>
          <t>Air Mineral</t>
        </is>
      </c>
      <c r="C32" s="2" t="inlineStr">
        <is>
          <t>Pangan</t>
        </is>
      </c>
      <c r="D32" s="4" t="n">
        <v>1050</v>
      </c>
      <c r="E32" s="4" t="n">
        <v>0</v>
      </c>
      <c r="F32" s="2" t="inlineStr">
        <is>
          <t>-</t>
        </is>
      </c>
      <c r="G32" s="5" t="n">
        <v>46442</v>
      </c>
      <c r="H32" s="5" t="n">
        <v>45752</v>
      </c>
      <c r="I32" s="2" t="n"/>
      <c r="J32" s="6" t="inlineStr">
        <is>
          <t>BAST-2025-IN-0030</t>
        </is>
      </c>
      <c r="K32" s="4" t="n">
        <v>30000</v>
      </c>
      <c r="L32" s="4" t="n">
        <v>31500000</v>
      </c>
    </row>
    <row r="33" ht="20" customHeight="1">
      <c r="A33" s="7" t="inlineStr">
        <is>
          <t>APBN</t>
        </is>
      </c>
      <c r="B33" s="8" t="inlineStr">
        <is>
          <t>Chainsaw</t>
        </is>
      </c>
      <c r="C33" s="7" t="inlineStr">
        <is>
          <t>Logistik Lainnya</t>
        </is>
      </c>
      <c r="D33" s="9" t="n">
        <v>18</v>
      </c>
      <c r="E33" s="9" t="n">
        <v>0</v>
      </c>
      <c r="F33" s="7" t="inlineStr">
        <is>
          <t>-</t>
        </is>
      </c>
      <c r="G33" s="7" t="n"/>
      <c r="H33" s="10" t="n">
        <v>45753</v>
      </c>
      <c r="I33" s="7" t="n"/>
      <c r="J33" s="11" t="inlineStr">
        <is>
          <t>BAST-2025-IN-0031</t>
        </is>
      </c>
      <c r="K33" s="9" t="n">
        <v>4500000</v>
      </c>
      <c r="L33" s="9" t="n">
        <v>81000000</v>
      </c>
    </row>
    <row r="34" ht="20" customHeight="1">
      <c r="A34" s="2" t="inlineStr">
        <is>
          <t>APBD</t>
        </is>
      </c>
      <c r="B34" s="3" t="inlineStr">
        <is>
          <t>Matras</t>
        </is>
      </c>
      <c r="C34" s="2" t="inlineStr">
        <is>
          <t>Sandang</t>
        </is>
      </c>
      <c r="D34" s="4" t="n">
        <v>0</v>
      </c>
      <c r="E34" s="4" t="n">
        <v>375</v>
      </c>
      <c r="F34" s="2" t="inlineStr">
        <is>
          <t>Kabupaten Majalengka</t>
        </is>
      </c>
      <c r="G34" s="2" t="n"/>
      <c r="H34" s="2" t="n"/>
      <c r="I34" s="5" t="n">
        <v>45754</v>
      </c>
      <c r="J34" s="6" t="inlineStr">
        <is>
          <t>SJ-2025-OUT-0002</t>
        </is>
      </c>
      <c r="K34" s="4" t="n">
        <v>120000</v>
      </c>
      <c r="L34" s="4" t="n">
        <v>45000000</v>
      </c>
    </row>
    <row r="35" ht="20" customHeight="1">
      <c r="A35" s="7" t="inlineStr">
        <is>
          <t>APBD</t>
        </is>
      </c>
      <c r="B35" s="8" t="inlineStr">
        <is>
          <t>Terpal</t>
        </is>
      </c>
      <c r="C35" s="7" t="inlineStr">
        <is>
          <t>Papan</t>
        </is>
      </c>
      <c r="D35" s="9" t="n">
        <v>0</v>
      </c>
      <c r="E35" s="9" t="n">
        <v>175</v>
      </c>
      <c r="F35" s="7" t="inlineStr">
        <is>
          <t>Kabupaten Garut</t>
        </is>
      </c>
      <c r="G35" s="7" t="n"/>
      <c r="H35" s="7" t="n"/>
      <c r="I35" s="10" t="n">
        <v>45755</v>
      </c>
      <c r="J35" s="11" t="inlineStr">
        <is>
          <t>SJ-2025-OUT-0003</t>
        </is>
      </c>
      <c r="K35" s="9" t="n">
        <v>150000</v>
      </c>
      <c r="L35" s="9" t="n">
        <v>26250000</v>
      </c>
    </row>
    <row r="36" ht="20" customHeight="1">
      <c r="A36" s="2" t="inlineStr">
        <is>
          <t>CSR</t>
        </is>
      </c>
      <c r="B36" s="3" t="inlineStr">
        <is>
          <t>Biskuit</t>
        </is>
      </c>
      <c r="C36" s="2" t="inlineStr">
        <is>
          <t>Pangan</t>
        </is>
      </c>
      <c r="D36" s="4" t="n">
        <v>800</v>
      </c>
      <c r="E36" s="4" t="n">
        <v>0</v>
      </c>
      <c r="F36" s="2" t="inlineStr">
        <is>
          <t>-</t>
        </is>
      </c>
      <c r="G36" s="2" t="n"/>
      <c r="H36" s="5" t="n">
        <v>45757</v>
      </c>
      <c r="I36" s="2" t="n"/>
      <c r="J36" s="6" t="inlineStr">
        <is>
          <t>BAST-2025-IN-0032</t>
        </is>
      </c>
      <c r="K36" s="4" t="n">
        <v>25000</v>
      </c>
      <c r="L36" s="4" t="n">
        <v>20000000</v>
      </c>
    </row>
    <row r="37" ht="20" customHeight="1">
      <c r="A37" s="7" t="inlineStr">
        <is>
          <t>APBN</t>
        </is>
      </c>
      <c r="B37" s="8" t="inlineStr">
        <is>
          <t>Susu Formula</t>
        </is>
      </c>
      <c r="C37" s="7" t="inlineStr">
        <is>
          <t>Pangan</t>
        </is>
      </c>
      <c r="D37" s="9" t="n">
        <v>850</v>
      </c>
      <c r="E37" s="9" t="n">
        <v>0</v>
      </c>
      <c r="F37" s="7" t="inlineStr">
        <is>
          <t>-</t>
        </is>
      </c>
      <c r="G37" s="10" t="n">
        <v>46188</v>
      </c>
      <c r="H37" s="10" t="n">
        <v>45761</v>
      </c>
      <c r="I37" s="7" t="n"/>
      <c r="J37" s="11" t="inlineStr">
        <is>
          <t>BAST-2025-IN-0033</t>
        </is>
      </c>
      <c r="K37" s="9" t="n">
        <v>65000</v>
      </c>
      <c r="L37" s="9" t="n">
        <v>55250000</v>
      </c>
    </row>
    <row r="38" ht="20" customHeight="1">
      <c r="A38" s="2" t="inlineStr">
        <is>
          <t>CSR</t>
        </is>
      </c>
      <c r="B38" s="3" t="inlineStr">
        <is>
          <t>Genset</t>
        </is>
      </c>
      <c r="C38" s="2" t="inlineStr">
        <is>
          <t>Logistik Lainnya</t>
        </is>
      </c>
      <c r="D38" s="4" t="n">
        <v>5</v>
      </c>
      <c r="E38" s="4" t="n">
        <v>0</v>
      </c>
      <c r="F38" s="2" t="inlineStr">
        <is>
          <t>-</t>
        </is>
      </c>
      <c r="G38" s="2" t="n"/>
      <c r="H38" s="5" t="n">
        <v>45762</v>
      </c>
      <c r="I38" s="2" t="n"/>
      <c r="J38" s="6" t="inlineStr">
        <is>
          <t>BAST-2025-IN-0034</t>
        </is>
      </c>
      <c r="K38" s="4" t="n">
        <v>12500000</v>
      </c>
      <c r="L38" s="4" t="n">
        <v>62500000</v>
      </c>
    </row>
    <row r="39" ht="20" customHeight="1">
      <c r="A39" s="7" t="inlineStr">
        <is>
          <t>CSR</t>
        </is>
      </c>
      <c r="B39" s="8" t="inlineStr">
        <is>
          <t>Lauk Pauk</t>
        </is>
      </c>
      <c r="C39" s="7" t="inlineStr">
        <is>
          <t>Pangan</t>
        </is>
      </c>
      <c r="D39" s="9" t="n">
        <v>1200</v>
      </c>
      <c r="E39" s="9" t="n">
        <v>0</v>
      </c>
      <c r="F39" s="7" t="inlineStr">
        <is>
          <t>-</t>
        </is>
      </c>
      <c r="G39" s="7" t="n"/>
      <c r="H39" s="10" t="n">
        <v>45762</v>
      </c>
      <c r="I39" s="7" t="n"/>
      <c r="J39" s="11" t="inlineStr">
        <is>
          <t>BAST-2025-IN-0035</t>
        </is>
      </c>
      <c r="K39" s="9" t="n">
        <v>35000</v>
      </c>
      <c r="L39" s="9" t="n">
        <v>42000000</v>
      </c>
    </row>
    <row r="40" ht="20" customHeight="1">
      <c r="A40" s="2" t="inlineStr">
        <is>
          <t>CSR</t>
        </is>
      </c>
      <c r="B40" s="3" t="inlineStr">
        <is>
          <t>Terpal</t>
        </is>
      </c>
      <c r="C40" s="2" t="inlineStr">
        <is>
          <t>Papan</t>
        </is>
      </c>
      <c r="D40" s="4" t="n">
        <v>0</v>
      </c>
      <c r="E40" s="4" t="n">
        <v>625</v>
      </c>
      <c r="F40" s="2" t="inlineStr">
        <is>
          <t>Kota Bogor</t>
        </is>
      </c>
      <c r="G40" s="2" t="n"/>
      <c r="H40" s="2" t="n"/>
      <c r="I40" s="5" t="n">
        <v>45762</v>
      </c>
      <c r="J40" s="6" t="inlineStr">
        <is>
          <t>SJ-2025-OUT-0004</t>
        </is>
      </c>
      <c r="K40" s="4" t="n">
        <v>150000</v>
      </c>
      <c r="L40" s="4" t="n">
        <v>93750000</v>
      </c>
    </row>
    <row r="41" ht="20" customHeight="1">
      <c r="A41" s="7" t="inlineStr">
        <is>
          <t>APBN</t>
        </is>
      </c>
      <c r="B41" s="8" t="inlineStr">
        <is>
          <t>Biskuit</t>
        </is>
      </c>
      <c r="C41" s="7" t="inlineStr">
        <is>
          <t>Pangan</t>
        </is>
      </c>
      <c r="D41" s="9" t="n">
        <v>750</v>
      </c>
      <c r="E41" s="9" t="n">
        <v>0</v>
      </c>
      <c r="F41" s="7" t="inlineStr">
        <is>
          <t>-</t>
        </is>
      </c>
      <c r="G41" s="7" t="n"/>
      <c r="H41" s="10" t="n">
        <v>45766</v>
      </c>
      <c r="I41" s="7" t="n"/>
      <c r="J41" s="11" t="inlineStr">
        <is>
          <t>BAST-2025-IN-0036</t>
        </is>
      </c>
      <c r="K41" s="9" t="n">
        <v>25000</v>
      </c>
      <c r="L41" s="9" t="n">
        <v>18750000</v>
      </c>
    </row>
    <row r="42" ht="20" customHeight="1">
      <c r="A42" s="2" t="inlineStr">
        <is>
          <t>CSR</t>
        </is>
      </c>
      <c r="B42" s="3" t="inlineStr">
        <is>
          <t>Pakaian Anak</t>
        </is>
      </c>
      <c r="C42" s="2" t="inlineStr">
        <is>
          <t>Sandang</t>
        </is>
      </c>
      <c r="D42" s="4" t="n">
        <v>700</v>
      </c>
      <c r="E42" s="4" t="n">
        <v>0</v>
      </c>
      <c r="F42" s="2" t="inlineStr">
        <is>
          <t>-</t>
        </is>
      </c>
      <c r="G42" s="2" t="n"/>
      <c r="H42" s="5" t="n">
        <v>45770</v>
      </c>
      <c r="I42" s="2" t="n"/>
      <c r="J42" s="6" t="inlineStr">
        <is>
          <t>BAST-2025-IN-0037</t>
        </is>
      </c>
      <c r="K42" s="4" t="n">
        <v>75000</v>
      </c>
      <c r="L42" s="4" t="n">
        <v>52500000</v>
      </c>
    </row>
    <row r="43" ht="20" customHeight="1">
      <c r="A43" s="7" t="inlineStr">
        <is>
          <t>APBD</t>
        </is>
      </c>
      <c r="B43" s="8" t="inlineStr">
        <is>
          <t>Sanitasi Kit</t>
        </is>
      </c>
      <c r="C43" s="7" t="inlineStr">
        <is>
          <t>Logistik Lainnya</t>
        </is>
      </c>
      <c r="D43" s="9" t="n">
        <v>500</v>
      </c>
      <c r="E43" s="9" t="n">
        <v>0</v>
      </c>
      <c r="F43" s="7" t="inlineStr">
        <is>
          <t>-</t>
        </is>
      </c>
      <c r="G43" s="7" t="n"/>
      <c r="H43" s="10" t="n">
        <v>45772</v>
      </c>
      <c r="I43" s="7" t="n"/>
      <c r="J43" s="11" t="inlineStr">
        <is>
          <t>BAST-2025-IN-0038</t>
        </is>
      </c>
      <c r="K43" s="9" t="n">
        <v>250000</v>
      </c>
      <c r="L43" s="9" t="n">
        <v>125000000</v>
      </c>
    </row>
    <row r="44" ht="20" customHeight="1">
      <c r="A44" s="2" t="inlineStr">
        <is>
          <t>APBN</t>
        </is>
      </c>
      <c r="B44" s="3" t="inlineStr">
        <is>
          <t>Biskuit</t>
        </is>
      </c>
      <c r="C44" s="2" t="inlineStr">
        <is>
          <t>Pangan</t>
        </is>
      </c>
      <c r="D44" s="4" t="n">
        <v>2350</v>
      </c>
      <c r="E44" s="4" t="n">
        <v>0</v>
      </c>
      <c r="F44" s="2" t="inlineStr">
        <is>
          <t>-</t>
        </is>
      </c>
      <c r="G44" s="5" t="n">
        <v>46162</v>
      </c>
      <c r="H44" s="5" t="n">
        <v>45772</v>
      </c>
      <c r="I44" s="2" t="n"/>
      <c r="J44" s="6" t="inlineStr">
        <is>
          <t>BAST-2025-IN-0039</t>
        </is>
      </c>
      <c r="K44" s="4" t="n">
        <v>25000</v>
      </c>
      <c r="L44" s="4" t="n">
        <v>58750000</v>
      </c>
    </row>
    <row r="45" ht="20" customHeight="1">
      <c r="A45" s="7" t="inlineStr">
        <is>
          <t>APBN</t>
        </is>
      </c>
      <c r="B45" s="8" t="inlineStr">
        <is>
          <t>Terpal</t>
        </is>
      </c>
      <c r="C45" s="7" t="inlineStr">
        <is>
          <t>Papan</t>
        </is>
      </c>
      <c r="D45" s="9" t="n">
        <v>650</v>
      </c>
      <c r="E45" s="9" t="n">
        <v>0</v>
      </c>
      <c r="F45" s="7" t="inlineStr">
        <is>
          <t>-</t>
        </is>
      </c>
      <c r="G45" s="7" t="n"/>
      <c r="H45" s="10" t="n">
        <v>45772</v>
      </c>
      <c r="I45" s="7" t="n"/>
      <c r="J45" s="11" t="inlineStr">
        <is>
          <t>BAST-2025-IN-0040</t>
        </is>
      </c>
      <c r="K45" s="9" t="n">
        <v>150000</v>
      </c>
      <c r="L45" s="9" t="n">
        <v>97500000</v>
      </c>
    </row>
    <row r="46" ht="20" customHeight="1">
      <c r="A46" s="2" t="inlineStr">
        <is>
          <t>APBN</t>
        </is>
      </c>
      <c r="B46" s="3" t="inlineStr">
        <is>
          <t>Selimut</t>
        </is>
      </c>
      <c r="C46" s="2" t="inlineStr">
        <is>
          <t>Sandang</t>
        </is>
      </c>
      <c r="D46" s="4" t="n">
        <v>850</v>
      </c>
      <c r="E46" s="4" t="n">
        <v>0</v>
      </c>
      <c r="F46" s="2" t="inlineStr">
        <is>
          <t>-</t>
        </is>
      </c>
      <c r="G46" s="2" t="n"/>
      <c r="H46" s="5" t="n">
        <v>45775</v>
      </c>
      <c r="I46" s="2" t="n"/>
      <c r="J46" s="6" t="inlineStr">
        <is>
          <t>BAST-2025-IN-0041</t>
        </is>
      </c>
      <c r="K46" s="4" t="n">
        <v>85000</v>
      </c>
      <c r="L46" s="4" t="n">
        <v>72250000</v>
      </c>
    </row>
    <row r="47" ht="20" customHeight="1">
      <c r="A47" s="7" t="inlineStr">
        <is>
          <t>APBN</t>
        </is>
      </c>
      <c r="B47" s="8" t="inlineStr">
        <is>
          <t>Biskuit</t>
        </is>
      </c>
      <c r="C47" s="7" t="inlineStr">
        <is>
          <t>Pangan</t>
        </is>
      </c>
      <c r="D47" s="9" t="n">
        <v>950</v>
      </c>
      <c r="E47" s="9" t="n">
        <v>0</v>
      </c>
      <c r="F47" s="7" t="inlineStr">
        <is>
          <t>-</t>
        </is>
      </c>
      <c r="G47" s="7" t="n"/>
      <c r="H47" s="10" t="n">
        <v>45781</v>
      </c>
      <c r="I47" s="7" t="n"/>
      <c r="J47" s="11" t="inlineStr">
        <is>
          <t>BAST-2025-IN-0042</t>
        </is>
      </c>
      <c r="K47" s="9" t="n">
        <v>25000</v>
      </c>
      <c r="L47" s="9" t="n">
        <v>23750000</v>
      </c>
    </row>
    <row r="48" ht="20" customHeight="1">
      <c r="A48" s="2" t="inlineStr">
        <is>
          <t>CSR</t>
        </is>
      </c>
      <c r="B48" s="3" t="inlineStr">
        <is>
          <t>Terpal</t>
        </is>
      </c>
      <c r="C48" s="2" t="inlineStr">
        <is>
          <t>Papan</t>
        </is>
      </c>
      <c r="D48" s="4" t="n">
        <v>100</v>
      </c>
      <c r="E48" s="4" t="n">
        <v>0</v>
      </c>
      <c r="F48" s="2" t="inlineStr">
        <is>
          <t>-</t>
        </is>
      </c>
      <c r="G48" s="2" t="n"/>
      <c r="H48" s="5" t="n">
        <v>45785</v>
      </c>
      <c r="I48" s="2" t="n"/>
      <c r="J48" s="6" t="inlineStr">
        <is>
          <t>BAST-2025-IN-0043</t>
        </is>
      </c>
      <c r="K48" s="4" t="n">
        <v>150000</v>
      </c>
      <c r="L48" s="4" t="n">
        <v>15000000</v>
      </c>
    </row>
    <row r="49" ht="20" customHeight="1">
      <c r="A49" s="7" t="inlineStr">
        <is>
          <t>APBN</t>
        </is>
      </c>
      <c r="B49" s="8" t="inlineStr">
        <is>
          <t>Sarung</t>
        </is>
      </c>
      <c r="C49" s="7" t="inlineStr">
        <is>
          <t>Sandang</t>
        </is>
      </c>
      <c r="D49" s="9" t="n">
        <v>800</v>
      </c>
      <c r="E49" s="9" t="n">
        <v>0</v>
      </c>
      <c r="F49" s="7" t="inlineStr">
        <is>
          <t>-</t>
        </is>
      </c>
      <c r="G49" s="7" t="n"/>
      <c r="H49" s="10" t="n">
        <v>45786</v>
      </c>
      <c r="I49" s="7" t="n"/>
      <c r="J49" s="11" t="inlineStr">
        <is>
          <t>BAST-2025-IN-0044</t>
        </is>
      </c>
      <c r="K49" s="9" t="n">
        <v>60000</v>
      </c>
      <c r="L49" s="9" t="n">
        <v>48000000</v>
      </c>
    </row>
    <row r="50" ht="20" customHeight="1">
      <c r="A50" s="2" t="inlineStr">
        <is>
          <t>APBN</t>
        </is>
      </c>
      <c r="B50" s="3" t="inlineStr">
        <is>
          <t>Beras</t>
        </is>
      </c>
      <c r="C50" s="2" t="inlineStr">
        <is>
          <t>Pangan</t>
        </is>
      </c>
      <c r="D50" s="4" t="n">
        <v>0</v>
      </c>
      <c r="E50" s="4" t="n">
        <v>3350</v>
      </c>
      <c r="F50" s="2" t="inlineStr">
        <is>
          <t>Kabupaten Bekasi</t>
        </is>
      </c>
      <c r="G50" s="2" t="n"/>
      <c r="H50" s="2" t="n"/>
      <c r="I50" s="5" t="n">
        <v>45788</v>
      </c>
      <c r="J50" s="6" t="inlineStr">
        <is>
          <t>SJ-2025-OUT-0005</t>
        </is>
      </c>
      <c r="K50" s="4" t="n">
        <v>15000</v>
      </c>
      <c r="L50" s="4" t="n">
        <v>50250000</v>
      </c>
    </row>
    <row r="51" ht="20" customHeight="1">
      <c r="A51" s="7" t="inlineStr">
        <is>
          <t>APBN</t>
        </is>
      </c>
      <c r="B51" s="8" t="inlineStr">
        <is>
          <t>Chainsaw</t>
        </is>
      </c>
      <c r="C51" s="7" t="inlineStr">
        <is>
          <t>Logistik Lainnya</t>
        </is>
      </c>
      <c r="D51" s="9" t="n">
        <v>7</v>
      </c>
      <c r="E51" s="9" t="n">
        <v>0</v>
      </c>
      <c r="F51" s="7" t="inlineStr">
        <is>
          <t>-</t>
        </is>
      </c>
      <c r="G51" s="7" t="n"/>
      <c r="H51" s="10" t="n">
        <v>45789</v>
      </c>
      <c r="I51" s="7" t="n"/>
      <c r="J51" s="11" t="inlineStr">
        <is>
          <t>BAST-2025-IN-0045</t>
        </is>
      </c>
      <c r="K51" s="9" t="n">
        <v>4500000</v>
      </c>
      <c r="L51" s="9" t="n">
        <v>31500000</v>
      </c>
    </row>
    <row r="52" ht="20" customHeight="1">
      <c r="A52" s="2" t="inlineStr">
        <is>
          <t>CSR</t>
        </is>
      </c>
      <c r="B52" s="3" t="inlineStr">
        <is>
          <t>Tenda Keluarga</t>
        </is>
      </c>
      <c r="C52" s="2" t="inlineStr">
        <is>
          <t>Papan</t>
        </is>
      </c>
      <c r="D52" s="4" t="n">
        <v>0</v>
      </c>
      <c r="E52" s="4" t="n">
        <v>70</v>
      </c>
      <c r="F52" s="2" t="inlineStr">
        <is>
          <t>Kabupaten Sukabumi</t>
        </is>
      </c>
      <c r="G52" s="2" t="n"/>
      <c r="H52" s="2" t="n"/>
      <c r="I52" s="5" t="n">
        <v>45794</v>
      </c>
      <c r="J52" s="6" t="inlineStr">
        <is>
          <t>SJ-2025-OUT-0006</t>
        </is>
      </c>
      <c r="K52" s="4" t="n">
        <v>3200000</v>
      </c>
      <c r="L52" s="4" t="n">
        <v>224000000</v>
      </c>
    </row>
    <row r="53" ht="20" customHeight="1">
      <c r="A53" s="7" t="inlineStr">
        <is>
          <t>APBD</t>
        </is>
      </c>
      <c r="B53" s="8" t="inlineStr">
        <is>
          <t>Family Kit</t>
        </is>
      </c>
      <c r="C53" s="7" t="inlineStr">
        <is>
          <t>Logistik Lainnya</t>
        </is>
      </c>
      <c r="D53" s="9" t="n">
        <v>1200</v>
      </c>
      <c r="E53" s="9" t="n">
        <v>0</v>
      </c>
      <c r="F53" s="7" t="inlineStr">
        <is>
          <t>-</t>
        </is>
      </c>
      <c r="G53" s="7" t="n"/>
      <c r="H53" s="10" t="n">
        <v>45799</v>
      </c>
      <c r="I53" s="7" t="n"/>
      <c r="J53" s="11" t="inlineStr">
        <is>
          <t>BAST-2025-IN-0046</t>
        </is>
      </c>
      <c r="K53" s="9" t="n">
        <v>350000</v>
      </c>
      <c r="L53" s="9" t="n">
        <v>420000000</v>
      </c>
    </row>
    <row r="54" ht="20" customHeight="1">
      <c r="A54" s="2" t="inlineStr">
        <is>
          <t>APBN</t>
        </is>
      </c>
      <c r="B54" s="3" t="inlineStr">
        <is>
          <t>Terpal</t>
        </is>
      </c>
      <c r="C54" s="2" t="inlineStr">
        <is>
          <t>Papan</t>
        </is>
      </c>
      <c r="D54" s="4" t="n">
        <v>350</v>
      </c>
      <c r="E54" s="4" t="n">
        <v>0</v>
      </c>
      <c r="F54" s="2" t="inlineStr">
        <is>
          <t>-</t>
        </is>
      </c>
      <c r="G54" s="2" t="n"/>
      <c r="H54" s="5" t="n">
        <v>45800</v>
      </c>
      <c r="I54" s="2" t="n"/>
      <c r="J54" s="6" t="inlineStr">
        <is>
          <t>BAST-2025-IN-0047</t>
        </is>
      </c>
      <c r="K54" s="4" t="n">
        <v>150000</v>
      </c>
      <c r="L54" s="4" t="n">
        <v>52500000</v>
      </c>
    </row>
    <row r="55" ht="20" customHeight="1">
      <c r="A55" s="7" t="inlineStr">
        <is>
          <t>APBN</t>
        </is>
      </c>
      <c r="B55" s="8" t="inlineStr">
        <is>
          <t>Lauk Pauk</t>
        </is>
      </c>
      <c r="C55" s="7" t="inlineStr">
        <is>
          <t>Pangan</t>
        </is>
      </c>
      <c r="D55" s="9" t="n">
        <v>3350</v>
      </c>
      <c r="E55" s="9" t="n">
        <v>0</v>
      </c>
      <c r="F55" s="7" t="inlineStr">
        <is>
          <t>-</t>
        </is>
      </c>
      <c r="G55" s="7" t="n"/>
      <c r="H55" s="10" t="n">
        <v>45800</v>
      </c>
      <c r="I55" s="7" t="n"/>
      <c r="J55" s="11" t="inlineStr">
        <is>
          <t>BAST-2025-IN-0048</t>
        </is>
      </c>
      <c r="K55" s="9" t="n">
        <v>35000</v>
      </c>
      <c r="L55" s="9" t="n">
        <v>117250000</v>
      </c>
    </row>
    <row r="56" ht="20" customHeight="1">
      <c r="A56" s="2" t="inlineStr">
        <is>
          <t>CSR</t>
        </is>
      </c>
      <c r="B56" s="3" t="inlineStr">
        <is>
          <t>Pakaian Anak</t>
        </is>
      </c>
      <c r="C56" s="2" t="inlineStr">
        <is>
          <t>Sandang</t>
        </is>
      </c>
      <c r="D56" s="4" t="n">
        <v>0</v>
      </c>
      <c r="E56" s="4" t="n">
        <v>300</v>
      </c>
      <c r="F56" s="2" t="inlineStr">
        <is>
          <t>Kabupaten Subang</t>
        </is>
      </c>
      <c r="G56" s="2" t="n"/>
      <c r="H56" s="2" t="n"/>
      <c r="I56" s="5" t="n">
        <v>45800</v>
      </c>
      <c r="J56" s="6" t="inlineStr">
        <is>
          <t>SJ-2025-OUT-0007</t>
        </is>
      </c>
      <c r="K56" s="4" t="n">
        <v>75000</v>
      </c>
      <c r="L56" s="4" t="n">
        <v>22500000</v>
      </c>
    </row>
    <row r="57" ht="20" customHeight="1">
      <c r="A57" s="7" t="inlineStr">
        <is>
          <t>APBN</t>
        </is>
      </c>
      <c r="B57" s="8" t="inlineStr">
        <is>
          <t>Tenda Pengungsi</t>
        </is>
      </c>
      <c r="C57" s="7" t="inlineStr">
        <is>
          <t>Papan</t>
        </is>
      </c>
      <c r="D57" s="9" t="n">
        <v>60</v>
      </c>
      <c r="E57" s="9" t="n">
        <v>0</v>
      </c>
      <c r="F57" s="7" t="inlineStr">
        <is>
          <t>-</t>
        </is>
      </c>
      <c r="G57" s="7" t="n"/>
      <c r="H57" s="10" t="n">
        <v>45804</v>
      </c>
      <c r="I57" s="7" t="n"/>
      <c r="J57" s="11" t="inlineStr">
        <is>
          <t>BAST-2025-IN-0049</t>
        </is>
      </c>
      <c r="K57" s="9" t="n">
        <v>8500000</v>
      </c>
      <c r="L57" s="9" t="n">
        <v>510000000</v>
      </c>
    </row>
    <row r="58" ht="20" customHeight="1">
      <c r="A58" s="2" t="inlineStr">
        <is>
          <t>CSR</t>
        </is>
      </c>
      <c r="B58" s="3" t="inlineStr">
        <is>
          <t>Biskuit</t>
        </is>
      </c>
      <c r="C58" s="2" t="inlineStr">
        <is>
          <t>Pangan</t>
        </is>
      </c>
      <c r="D58" s="4" t="n">
        <v>0</v>
      </c>
      <c r="E58" s="4" t="n">
        <v>1075</v>
      </c>
      <c r="F58" s="2" t="inlineStr">
        <is>
          <t>Kabupaten Indramayu</t>
        </is>
      </c>
      <c r="G58" s="2" t="n"/>
      <c r="H58" s="2" t="n"/>
      <c r="I58" s="5" t="n">
        <v>45810</v>
      </c>
      <c r="J58" s="6" t="inlineStr">
        <is>
          <t>SJ-2025-OUT-0008</t>
        </is>
      </c>
      <c r="K58" s="4" t="n">
        <v>25000</v>
      </c>
      <c r="L58" s="4" t="n">
        <v>26875000</v>
      </c>
    </row>
    <row r="59" ht="20" customHeight="1">
      <c r="A59" s="7" t="inlineStr">
        <is>
          <t>APBN</t>
        </is>
      </c>
      <c r="B59" s="8" t="inlineStr">
        <is>
          <t>Pakaian Dewasa</t>
        </is>
      </c>
      <c r="C59" s="7" t="inlineStr">
        <is>
          <t>Sandang</t>
        </is>
      </c>
      <c r="D59" s="9" t="n">
        <v>1600</v>
      </c>
      <c r="E59" s="9" t="n">
        <v>0</v>
      </c>
      <c r="F59" s="7" t="inlineStr">
        <is>
          <t>-</t>
        </is>
      </c>
      <c r="G59" s="7" t="n"/>
      <c r="H59" s="10" t="n">
        <v>45814</v>
      </c>
      <c r="I59" s="7" t="n"/>
      <c r="J59" s="11" t="inlineStr">
        <is>
          <t>BAST-2025-IN-0050</t>
        </is>
      </c>
      <c r="K59" s="9" t="n">
        <v>95000</v>
      </c>
      <c r="L59" s="9" t="n">
        <v>152000000</v>
      </c>
    </row>
    <row r="60" ht="20" customHeight="1">
      <c r="A60" s="2" t="inlineStr">
        <is>
          <t>CSR</t>
        </is>
      </c>
      <c r="B60" s="3" t="inlineStr">
        <is>
          <t>Terpal</t>
        </is>
      </c>
      <c r="C60" s="2" t="inlineStr">
        <is>
          <t>Papan</t>
        </is>
      </c>
      <c r="D60" s="4" t="n">
        <v>400</v>
      </c>
      <c r="E60" s="4" t="n">
        <v>0</v>
      </c>
      <c r="F60" s="2" t="inlineStr">
        <is>
          <t>-</t>
        </is>
      </c>
      <c r="G60" s="2" t="n"/>
      <c r="H60" s="5" t="n">
        <v>45814</v>
      </c>
      <c r="I60" s="2" t="n"/>
      <c r="J60" s="6" t="inlineStr">
        <is>
          <t>BAST-2025-IN-0051</t>
        </is>
      </c>
      <c r="K60" s="4" t="n">
        <v>150000</v>
      </c>
      <c r="L60" s="4" t="n">
        <v>60000000</v>
      </c>
    </row>
    <row r="61" ht="20" customHeight="1">
      <c r="A61" s="7" t="inlineStr">
        <is>
          <t>APBN</t>
        </is>
      </c>
      <c r="B61" s="8" t="inlineStr">
        <is>
          <t>Beras</t>
        </is>
      </c>
      <c r="C61" s="7" t="inlineStr">
        <is>
          <t>Pangan</t>
        </is>
      </c>
      <c r="D61" s="9" t="n">
        <v>14100</v>
      </c>
      <c r="E61" s="9" t="n">
        <v>0</v>
      </c>
      <c r="F61" s="7" t="inlineStr">
        <is>
          <t>-</t>
        </is>
      </c>
      <c r="G61" s="7" t="n"/>
      <c r="H61" s="10" t="n">
        <v>45817</v>
      </c>
      <c r="I61" s="7" t="n"/>
      <c r="J61" s="11" t="inlineStr">
        <is>
          <t>BAST-2025-IN-0052</t>
        </is>
      </c>
      <c r="K61" s="9" t="n">
        <v>15000</v>
      </c>
      <c r="L61" s="9" t="n">
        <v>211500000</v>
      </c>
    </row>
    <row r="62" ht="20" customHeight="1">
      <c r="A62" s="2" t="inlineStr">
        <is>
          <t>CSR</t>
        </is>
      </c>
      <c r="B62" s="3" t="inlineStr">
        <is>
          <t>Selimut</t>
        </is>
      </c>
      <c r="C62" s="2" t="inlineStr">
        <is>
          <t>Sandang</t>
        </is>
      </c>
      <c r="D62" s="4" t="n">
        <v>0</v>
      </c>
      <c r="E62" s="4" t="n">
        <v>1050</v>
      </c>
      <c r="F62" s="2" t="inlineStr">
        <is>
          <t>Kabupaten Karawang</t>
        </is>
      </c>
      <c r="G62" s="2" t="n"/>
      <c r="H62" s="2" t="n"/>
      <c r="I62" s="5" t="n">
        <v>45818</v>
      </c>
      <c r="J62" s="6" t="inlineStr">
        <is>
          <t>SJ-2025-OUT-0009</t>
        </is>
      </c>
      <c r="K62" s="4" t="n">
        <v>85000</v>
      </c>
      <c r="L62" s="4" t="n">
        <v>89250000</v>
      </c>
    </row>
    <row r="63" ht="20" customHeight="1">
      <c r="A63" s="7" t="inlineStr">
        <is>
          <t>APBD</t>
        </is>
      </c>
      <c r="B63" s="8" t="inlineStr">
        <is>
          <t>Selimut</t>
        </is>
      </c>
      <c r="C63" s="7" t="inlineStr">
        <is>
          <t>Sandang</t>
        </is>
      </c>
      <c r="D63" s="9" t="n">
        <v>550</v>
      </c>
      <c r="E63" s="9" t="n">
        <v>0</v>
      </c>
      <c r="F63" s="7" t="inlineStr">
        <is>
          <t>-</t>
        </is>
      </c>
      <c r="G63" s="7" t="n"/>
      <c r="H63" s="10" t="n">
        <v>45819</v>
      </c>
      <c r="I63" s="7" t="n"/>
      <c r="J63" s="11" t="inlineStr">
        <is>
          <t>BAST-2025-IN-0053</t>
        </is>
      </c>
      <c r="K63" s="9" t="n">
        <v>85000</v>
      </c>
      <c r="L63" s="9" t="n">
        <v>46750000</v>
      </c>
    </row>
    <row r="64" ht="20" customHeight="1">
      <c r="A64" s="2" t="inlineStr">
        <is>
          <t>CSR</t>
        </is>
      </c>
      <c r="B64" s="3" t="inlineStr">
        <is>
          <t>Chainsaw</t>
        </is>
      </c>
      <c r="C64" s="2" t="inlineStr">
        <is>
          <t>Logistik Lainnya</t>
        </is>
      </c>
      <c r="D64" s="4" t="n">
        <v>0</v>
      </c>
      <c r="E64" s="4" t="n">
        <v>7</v>
      </c>
      <c r="F64" s="2" t="inlineStr">
        <is>
          <t>Kabupaten Bekasi</t>
        </is>
      </c>
      <c r="G64" s="2" t="n"/>
      <c r="H64" s="2" t="n"/>
      <c r="I64" s="5" t="n">
        <v>45820</v>
      </c>
      <c r="J64" s="6" t="inlineStr">
        <is>
          <t>SJ-2025-OUT-0010</t>
        </is>
      </c>
      <c r="K64" s="4" t="n">
        <v>4500000</v>
      </c>
      <c r="L64" s="4" t="n">
        <v>31500000</v>
      </c>
    </row>
    <row r="65" ht="20" customHeight="1">
      <c r="A65" s="7" t="inlineStr">
        <is>
          <t>APBD</t>
        </is>
      </c>
      <c r="B65" s="8" t="inlineStr">
        <is>
          <t>Tenda Pengungsi</t>
        </is>
      </c>
      <c r="C65" s="7" t="inlineStr">
        <is>
          <t>Papan</t>
        </is>
      </c>
      <c r="D65" s="9" t="n">
        <v>0</v>
      </c>
      <c r="E65" s="9" t="n">
        <v>80</v>
      </c>
      <c r="F65" s="7" t="inlineStr">
        <is>
          <t>Kabupaten Karawang</t>
        </is>
      </c>
      <c r="G65" s="7" t="n"/>
      <c r="H65" s="7" t="n"/>
      <c r="I65" s="10" t="n">
        <v>45820</v>
      </c>
      <c r="J65" s="11" t="inlineStr">
        <is>
          <t>SJ-2025-OUT-0011</t>
        </is>
      </c>
      <c r="K65" s="9" t="n">
        <v>8500000</v>
      </c>
      <c r="L65" s="9" t="n">
        <v>680000000</v>
      </c>
    </row>
    <row r="66" ht="20" customHeight="1">
      <c r="A66" s="2" t="inlineStr">
        <is>
          <t>CSR</t>
        </is>
      </c>
      <c r="B66" s="3" t="inlineStr">
        <is>
          <t>Terpal</t>
        </is>
      </c>
      <c r="C66" s="2" t="inlineStr">
        <is>
          <t>Papan</t>
        </is>
      </c>
      <c r="D66" s="4" t="n">
        <v>0</v>
      </c>
      <c r="E66" s="4" t="n">
        <v>300</v>
      </c>
      <c r="F66" s="2" t="inlineStr">
        <is>
          <t>Kabupaten Subang</t>
        </is>
      </c>
      <c r="G66" s="2" t="n"/>
      <c r="H66" s="2" t="n"/>
      <c r="I66" s="5" t="n">
        <v>45820</v>
      </c>
      <c r="J66" s="6" t="inlineStr">
        <is>
          <t>SJ-2025-OUT-0012</t>
        </is>
      </c>
      <c r="K66" s="4" t="n">
        <v>150000</v>
      </c>
      <c r="L66" s="4" t="n">
        <v>45000000</v>
      </c>
    </row>
    <row r="67" ht="20" customHeight="1">
      <c r="A67" s="7" t="inlineStr">
        <is>
          <t>APBD</t>
        </is>
      </c>
      <c r="B67" s="8" t="inlineStr">
        <is>
          <t>Terpal</t>
        </is>
      </c>
      <c r="C67" s="7" t="inlineStr">
        <is>
          <t>Papan</t>
        </is>
      </c>
      <c r="D67" s="9" t="n">
        <v>600</v>
      </c>
      <c r="E67" s="9" t="n">
        <v>0</v>
      </c>
      <c r="F67" s="7" t="inlineStr">
        <is>
          <t>-</t>
        </is>
      </c>
      <c r="G67" s="7" t="n"/>
      <c r="H67" s="10" t="n">
        <v>45821</v>
      </c>
      <c r="I67" s="7" t="n"/>
      <c r="J67" s="11" t="inlineStr">
        <is>
          <t>BAST-2025-IN-0054</t>
        </is>
      </c>
      <c r="K67" s="9" t="n">
        <v>150000</v>
      </c>
      <c r="L67" s="9" t="n">
        <v>90000000</v>
      </c>
    </row>
    <row r="68" ht="20" customHeight="1">
      <c r="A68" s="2" t="inlineStr">
        <is>
          <t>APBD</t>
        </is>
      </c>
      <c r="B68" s="3" t="inlineStr">
        <is>
          <t>Beras</t>
        </is>
      </c>
      <c r="C68" s="2" t="inlineStr">
        <is>
          <t>Pangan</t>
        </is>
      </c>
      <c r="D68" s="4" t="n">
        <v>13900</v>
      </c>
      <c r="E68" s="4" t="n">
        <v>0</v>
      </c>
      <c r="F68" s="2" t="inlineStr">
        <is>
          <t>-</t>
        </is>
      </c>
      <c r="G68" s="2" t="n"/>
      <c r="H68" s="5" t="n">
        <v>45821</v>
      </c>
      <c r="I68" s="2" t="n"/>
      <c r="J68" s="6" t="inlineStr">
        <is>
          <t>BAST-2025-IN-0055</t>
        </is>
      </c>
      <c r="K68" s="4" t="n">
        <v>15000</v>
      </c>
      <c r="L68" s="4" t="n">
        <v>208500000</v>
      </c>
    </row>
    <row r="69" ht="20" customHeight="1">
      <c r="A69" s="7" t="inlineStr">
        <is>
          <t>APBD</t>
        </is>
      </c>
      <c r="B69" s="8" t="inlineStr">
        <is>
          <t>Matras</t>
        </is>
      </c>
      <c r="C69" s="7" t="inlineStr">
        <is>
          <t>Sandang</t>
        </is>
      </c>
      <c r="D69" s="9" t="n">
        <v>1100</v>
      </c>
      <c r="E69" s="9" t="n">
        <v>0</v>
      </c>
      <c r="F69" s="7" t="inlineStr">
        <is>
          <t>-</t>
        </is>
      </c>
      <c r="G69" s="7" t="n"/>
      <c r="H69" s="10" t="n">
        <v>45823</v>
      </c>
      <c r="I69" s="7" t="n"/>
      <c r="J69" s="11" t="inlineStr">
        <is>
          <t>BAST-2025-IN-0056</t>
        </is>
      </c>
      <c r="K69" s="9" t="n">
        <v>120000</v>
      </c>
      <c r="L69" s="9" t="n">
        <v>132000000</v>
      </c>
    </row>
    <row r="70" ht="20" customHeight="1">
      <c r="A70" s="2" t="inlineStr">
        <is>
          <t>APBN</t>
        </is>
      </c>
      <c r="B70" s="3" t="inlineStr">
        <is>
          <t>Makanan Siap Saji</t>
        </is>
      </c>
      <c r="C70" s="2" t="inlineStr">
        <is>
          <t>Pangan</t>
        </is>
      </c>
      <c r="D70" s="4" t="n">
        <v>4250</v>
      </c>
      <c r="E70" s="4" t="n">
        <v>0</v>
      </c>
      <c r="F70" s="2" t="inlineStr">
        <is>
          <t>-</t>
        </is>
      </c>
      <c r="G70" s="5" t="n">
        <v>46274</v>
      </c>
      <c r="H70" s="5" t="n">
        <v>45824</v>
      </c>
      <c r="I70" s="2" t="n"/>
      <c r="J70" s="6" t="inlineStr">
        <is>
          <t>BAST-2025-IN-0057</t>
        </is>
      </c>
      <c r="K70" s="4" t="n">
        <v>45000</v>
      </c>
      <c r="L70" s="4" t="n">
        <v>191250000</v>
      </c>
    </row>
    <row r="71" ht="20" customHeight="1">
      <c r="A71" s="7" t="inlineStr">
        <is>
          <t>APBN</t>
        </is>
      </c>
      <c r="B71" s="8" t="inlineStr">
        <is>
          <t>Selimut</t>
        </is>
      </c>
      <c r="C71" s="7" t="inlineStr">
        <is>
          <t>Sandang</t>
        </is>
      </c>
      <c r="D71" s="9" t="n">
        <v>1550</v>
      </c>
      <c r="E71" s="9" t="n">
        <v>0</v>
      </c>
      <c r="F71" s="7" t="inlineStr">
        <is>
          <t>-</t>
        </is>
      </c>
      <c r="G71" s="7" t="n"/>
      <c r="H71" s="10" t="n">
        <v>45825</v>
      </c>
      <c r="I71" s="7" t="n"/>
      <c r="J71" s="11" t="inlineStr">
        <is>
          <t>BAST-2025-IN-0058</t>
        </is>
      </c>
      <c r="K71" s="9" t="n">
        <v>85000</v>
      </c>
      <c r="L71" s="9" t="n">
        <v>131750000</v>
      </c>
    </row>
    <row r="72" ht="20" customHeight="1">
      <c r="A72" s="2" t="inlineStr">
        <is>
          <t>APBN</t>
        </is>
      </c>
      <c r="B72" s="3" t="inlineStr">
        <is>
          <t>Tenda Keluarga</t>
        </is>
      </c>
      <c r="C72" s="2" t="inlineStr">
        <is>
          <t>Papan</t>
        </is>
      </c>
      <c r="D72" s="4" t="n">
        <v>100</v>
      </c>
      <c r="E72" s="4" t="n">
        <v>0</v>
      </c>
      <c r="F72" s="2" t="inlineStr">
        <is>
          <t>-</t>
        </is>
      </c>
      <c r="G72" s="2" t="n"/>
      <c r="H72" s="5" t="n">
        <v>45827</v>
      </c>
      <c r="I72" s="2" t="n"/>
      <c r="J72" s="6" t="inlineStr">
        <is>
          <t>BAST-2025-IN-0059</t>
        </is>
      </c>
      <c r="K72" s="4" t="n">
        <v>3200000</v>
      </c>
      <c r="L72" s="4" t="n">
        <v>320000000</v>
      </c>
    </row>
    <row r="73" ht="20" customHeight="1">
      <c r="A73" s="7" t="inlineStr">
        <is>
          <t>APBD</t>
        </is>
      </c>
      <c r="B73" s="8" t="inlineStr">
        <is>
          <t>Sarung</t>
        </is>
      </c>
      <c r="C73" s="7" t="inlineStr">
        <is>
          <t>Sandang</t>
        </is>
      </c>
      <c r="D73" s="9" t="n">
        <v>850</v>
      </c>
      <c r="E73" s="9" t="n">
        <v>0</v>
      </c>
      <c r="F73" s="7" t="inlineStr">
        <is>
          <t>-</t>
        </is>
      </c>
      <c r="G73" s="7" t="n"/>
      <c r="H73" s="10" t="n">
        <v>45833</v>
      </c>
      <c r="I73" s="7" t="n"/>
      <c r="J73" s="11" t="inlineStr">
        <is>
          <t>BAST-2025-IN-0060</t>
        </is>
      </c>
      <c r="K73" s="9" t="n">
        <v>60000</v>
      </c>
      <c r="L73" s="9" t="n">
        <v>51000000</v>
      </c>
    </row>
    <row r="74" ht="20" customHeight="1">
      <c r="A74" s="2" t="inlineStr">
        <is>
          <t>APBD</t>
        </is>
      </c>
      <c r="B74" s="3" t="inlineStr">
        <is>
          <t>Tenda Pengungsi</t>
        </is>
      </c>
      <c r="C74" s="2" t="inlineStr">
        <is>
          <t>Papan</t>
        </is>
      </c>
      <c r="D74" s="4" t="n">
        <v>140</v>
      </c>
      <c r="E74" s="4" t="n">
        <v>0</v>
      </c>
      <c r="F74" s="2" t="inlineStr">
        <is>
          <t>-</t>
        </is>
      </c>
      <c r="G74" s="2" t="n"/>
      <c r="H74" s="5" t="n">
        <v>45840</v>
      </c>
      <c r="I74" s="2" t="n"/>
      <c r="J74" s="6" t="inlineStr">
        <is>
          <t>BAST-2025-IN-0061</t>
        </is>
      </c>
      <c r="K74" s="4" t="n">
        <v>8500000</v>
      </c>
      <c r="L74" s="4" t="n">
        <v>1190000000</v>
      </c>
    </row>
    <row r="75" ht="20" customHeight="1">
      <c r="A75" s="7" t="inlineStr">
        <is>
          <t>APBD</t>
        </is>
      </c>
      <c r="B75" s="8" t="inlineStr">
        <is>
          <t>Makanan Siap Saji</t>
        </is>
      </c>
      <c r="C75" s="7" t="inlineStr">
        <is>
          <t>Pangan</t>
        </is>
      </c>
      <c r="D75" s="9" t="n">
        <v>0</v>
      </c>
      <c r="E75" s="9" t="n">
        <v>1825</v>
      </c>
      <c r="F75" s="7" t="inlineStr">
        <is>
          <t>Kabupaten Sukabumi</t>
        </is>
      </c>
      <c r="G75" s="7" t="n"/>
      <c r="H75" s="7" t="n"/>
      <c r="I75" s="10" t="n">
        <v>45847</v>
      </c>
      <c r="J75" s="11" t="inlineStr">
        <is>
          <t>SJ-2025-OUT-0013</t>
        </is>
      </c>
      <c r="K75" s="9" t="n">
        <v>45000</v>
      </c>
      <c r="L75" s="9" t="n">
        <v>82125000</v>
      </c>
    </row>
    <row r="76" ht="20" customHeight="1">
      <c r="A76" s="2" t="inlineStr">
        <is>
          <t>APBD</t>
        </is>
      </c>
      <c r="B76" s="3" t="inlineStr">
        <is>
          <t>Chainsaw</t>
        </is>
      </c>
      <c r="C76" s="2" t="inlineStr">
        <is>
          <t>Logistik Lainnya</t>
        </is>
      </c>
      <c r="D76" s="4" t="n">
        <v>26</v>
      </c>
      <c r="E76" s="4" t="n">
        <v>0</v>
      </c>
      <c r="F76" s="2" t="inlineStr">
        <is>
          <t>-</t>
        </is>
      </c>
      <c r="G76" s="2" t="n"/>
      <c r="H76" s="5" t="n">
        <v>45854</v>
      </c>
      <c r="I76" s="2" t="n"/>
      <c r="J76" s="6" t="inlineStr">
        <is>
          <t>BAST-2025-IN-0062</t>
        </is>
      </c>
      <c r="K76" s="4" t="n">
        <v>4500000</v>
      </c>
      <c r="L76" s="4" t="n">
        <v>117000000</v>
      </c>
    </row>
    <row r="77" ht="20" customHeight="1">
      <c r="A77" s="7" t="inlineStr">
        <is>
          <t>APBN</t>
        </is>
      </c>
      <c r="B77" s="8" t="inlineStr">
        <is>
          <t>Pakaian Dewasa</t>
        </is>
      </c>
      <c r="C77" s="7" t="inlineStr">
        <is>
          <t>Sandang</t>
        </is>
      </c>
      <c r="D77" s="9" t="n">
        <v>1250</v>
      </c>
      <c r="E77" s="9" t="n">
        <v>0</v>
      </c>
      <c r="F77" s="7" t="inlineStr">
        <is>
          <t>-</t>
        </is>
      </c>
      <c r="G77" s="7" t="n"/>
      <c r="H77" s="10" t="n">
        <v>45861</v>
      </c>
      <c r="I77" s="7" t="n"/>
      <c r="J77" s="11" t="inlineStr">
        <is>
          <t>BAST-2025-IN-0063</t>
        </is>
      </c>
      <c r="K77" s="9" t="n">
        <v>95000</v>
      </c>
      <c r="L77" s="9" t="n">
        <v>118750000</v>
      </c>
    </row>
    <row r="78" ht="20" customHeight="1">
      <c r="A78" s="2" t="inlineStr">
        <is>
          <t>APBN</t>
        </is>
      </c>
      <c r="B78" s="3" t="inlineStr">
        <is>
          <t>Family Kit</t>
        </is>
      </c>
      <c r="C78" s="2" t="inlineStr">
        <is>
          <t>Logistik Lainnya</t>
        </is>
      </c>
      <c r="D78" s="4" t="n">
        <v>600</v>
      </c>
      <c r="E78" s="4" t="n">
        <v>0</v>
      </c>
      <c r="F78" s="2" t="inlineStr">
        <is>
          <t>-</t>
        </is>
      </c>
      <c r="G78" s="2" t="n"/>
      <c r="H78" s="5" t="n">
        <v>45861</v>
      </c>
      <c r="I78" s="2" t="n"/>
      <c r="J78" s="6" t="inlineStr">
        <is>
          <t>BAST-2025-IN-0064</t>
        </is>
      </c>
      <c r="K78" s="4" t="n">
        <v>350000</v>
      </c>
      <c r="L78" s="4" t="n">
        <v>210000000</v>
      </c>
    </row>
    <row r="79" ht="20" customHeight="1">
      <c r="A79" s="7" t="inlineStr">
        <is>
          <t>APBN</t>
        </is>
      </c>
      <c r="B79" s="8" t="inlineStr">
        <is>
          <t>Pakaian Dewasa</t>
        </is>
      </c>
      <c r="C79" s="7" t="inlineStr">
        <is>
          <t>Sandang</t>
        </is>
      </c>
      <c r="D79" s="9" t="n">
        <v>1950</v>
      </c>
      <c r="E79" s="9" t="n">
        <v>0</v>
      </c>
      <c r="F79" s="7" t="inlineStr">
        <is>
          <t>-</t>
        </is>
      </c>
      <c r="G79" s="7" t="n"/>
      <c r="H79" s="10" t="n">
        <v>45863</v>
      </c>
      <c r="I79" s="7" t="n"/>
      <c r="J79" s="11" t="inlineStr">
        <is>
          <t>BAST-2025-IN-0065</t>
        </is>
      </c>
      <c r="K79" s="9" t="n">
        <v>95000</v>
      </c>
      <c r="L79" s="9" t="n">
        <v>185250000</v>
      </c>
    </row>
    <row r="80" ht="20" customHeight="1">
      <c r="A80" s="2" t="inlineStr">
        <is>
          <t>APBN</t>
        </is>
      </c>
      <c r="B80" s="3" t="inlineStr">
        <is>
          <t>Susu Formula</t>
        </is>
      </c>
      <c r="C80" s="2" t="inlineStr">
        <is>
          <t>Pangan</t>
        </is>
      </c>
      <c r="D80" s="4" t="n">
        <v>0</v>
      </c>
      <c r="E80" s="4" t="n">
        <v>425</v>
      </c>
      <c r="F80" s="2" t="inlineStr">
        <is>
          <t>Kota Bandung</t>
        </is>
      </c>
      <c r="G80" s="2" t="n"/>
      <c r="H80" s="2" t="n"/>
      <c r="I80" s="5" t="n">
        <v>45865</v>
      </c>
      <c r="J80" s="6" t="inlineStr">
        <is>
          <t>SJ-2025-OUT-0014</t>
        </is>
      </c>
      <c r="K80" s="4" t="n">
        <v>65000</v>
      </c>
      <c r="L80" s="4" t="n">
        <v>27625000</v>
      </c>
    </row>
    <row r="81" ht="20" customHeight="1">
      <c r="A81" s="7" t="inlineStr">
        <is>
          <t>APBD</t>
        </is>
      </c>
      <c r="B81" s="8" t="inlineStr">
        <is>
          <t>Air Mineral</t>
        </is>
      </c>
      <c r="C81" s="7" t="inlineStr">
        <is>
          <t>Pangan</t>
        </is>
      </c>
      <c r="D81" s="9" t="n">
        <v>4050</v>
      </c>
      <c r="E81" s="9" t="n">
        <v>0</v>
      </c>
      <c r="F81" s="7" t="inlineStr">
        <is>
          <t>-</t>
        </is>
      </c>
      <c r="G81" s="10" t="n">
        <v>46708</v>
      </c>
      <c r="H81" s="10" t="n">
        <v>45872</v>
      </c>
      <c r="I81" s="7" t="n"/>
      <c r="J81" s="11" t="inlineStr">
        <is>
          <t>BAST-2025-IN-0066</t>
        </is>
      </c>
      <c r="K81" s="9" t="n">
        <v>30000</v>
      </c>
      <c r="L81" s="9" t="n">
        <v>121500000</v>
      </c>
    </row>
    <row r="82" ht="20" customHeight="1">
      <c r="A82" s="2" t="inlineStr">
        <is>
          <t>APBD</t>
        </is>
      </c>
      <c r="B82" s="3" t="inlineStr">
        <is>
          <t>Family Kit</t>
        </is>
      </c>
      <c r="C82" s="2" t="inlineStr">
        <is>
          <t>Logistik Lainnya</t>
        </is>
      </c>
      <c r="D82" s="4" t="n">
        <v>0</v>
      </c>
      <c r="E82" s="4" t="n">
        <v>350</v>
      </c>
      <c r="F82" s="2" t="inlineStr">
        <is>
          <t>Kota Cimahi</t>
        </is>
      </c>
      <c r="G82" s="2" t="n"/>
      <c r="H82" s="2" t="n"/>
      <c r="I82" s="5" t="n">
        <v>45873</v>
      </c>
      <c r="J82" s="6" t="inlineStr">
        <is>
          <t>SJ-2025-OUT-0015</t>
        </is>
      </c>
      <c r="K82" s="4" t="n">
        <v>350000</v>
      </c>
      <c r="L82" s="4" t="n">
        <v>122500000</v>
      </c>
    </row>
    <row r="83" ht="20" customHeight="1">
      <c r="A83" s="7" t="inlineStr">
        <is>
          <t>CSR</t>
        </is>
      </c>
      <c r="B83" s="8" t="inlineStr">
        <is>
          <t>Makanan Siap Saji</t>
        </is>
      </c>
      <c r="C83" s="7" t="inlineStr">
        <is>
          <t>Pangan</t>
        </is>
      </c>
      <c r="D83" s="9" t="n">
        <v>2550</v>
      </c>
      <c r="E83" s="9" t="n">
        <v>0</v>
      </c>
      <c r="F83" s="7" t="inlineStr">
        <is>
          <t>-</t>
        </is>
      </c>
      <c r="G83" s="10" t="n">
        <v>46474</v>
      </c>
      <c r="H83" s="10" t="n">
        <v>45874</v>
      </c>
      <c r="I83" s="7" t="n"/>
      <c r="J83" s="11" t="inlineStr">
        <is>
          <t>BAST-2025-IN-0067</t>
        </is>
      </c>
      <c r="K83" s="9" t="n">
        <v>45000</v>
      </c>
      <c r="L83" s="9" t="n">
        <v>114750000</v>
      </c>
    </row>
    <row r="84" ht="20" customHeight="1">
      <c r="A84" s="2" t="inlineStr">
        <is>
          <t>CSR</t>
        </is>
      </c>
      <c r="B84" s="3" t="inlineStr">
        <is>
          <t>Makanan Siap Saji</t>
        </is>
      </c>
      <c r="C84" s="2" t="inlineStr">
        <is>
          <t>Pangan</t>
        </is>
      </c>
      <c r="D84" s="4" t="n">
        <v>3450</v>
      </c>
      <c r="E84" s="4" t="n">
        <v>0</v>
      </c>
      <c r="F84" s="2" t="inlineStr">
        <is>
          <t>-</t>
        </is>
      </c>
      <c r="G84" s="5" t="n">
        <v>46377</v>
      </c>
      <c r="H84" s="5" t="n">
        <v>45874</v>
      </c>
      <c r="I84" s="2" t="n"/>
      <c r="J84" s="6" t="inlineStr">
        <is>
          <t>BAST-2025-IN-0068</t>
        </is>
      </c>
      <c r="K84" s="4" t="n">
        <v>45000</v>
      </c>
      <c r="L84" s="4" t="n">
        <v>155250000</v>
      </c>
    </row>
    <row r="85" ht="20" customHeight="1">
      <c r="A85" s="7" t="inlineStr">
        <is>
          <t>CSR</t>
        </is>
      </c>
      <c r="B85" s="8" t="inlineStr">
        <is>
          <t>Air Mineral</t>
        </is>
      </c>
      <c r="C85" s="7" t="inlineStr">
        <is>
          <t>Pangan</t>
        </is>
      </c>
      <c r="D85" s="9" t="n">
        <v>5900</v>
      </c>
      <c r="E85" s="9" t="n">
        <v>0</v>
      </c>
      <c r="F85" s="7" t="inlineStr">
        <is>
          <t>-</t>
        </is>
      </c>
      <c r="G85" s="7" t="n"/>
      <c r="H85" s="10" t="n">
        <v>45875</v>
      </c>
      <c r="I85" s="7" t="n"/>
      <c r="J85" s="11" t="inlineStr">
        <is>
          <t>BAST-2025-IN-0069</t>
        </is>
      </c>
      <c r="K85" s="9" t="n">
        <v>30000</v>
      </c>
      <c r="L85" s="9" t="n">
        <v>177000000</v>
      </c>
    </row>
    <row r="86" ht="20" customHeight="1">
      <c r="A86" s="2" t="inlineStr">
        <is>
          <t>APBD</t>
        </is>
      </c>
      <c r="B86" s="3" t="inlineStr">
        <is>
          <t>Selimut</t>
        </is>
      </c>
      <c r="C86" s="2" t="inlineStr">
        <is>
          <t>Sandang</t>
        </is>
      </c>
      <c r="D86" s="4" t="n">
        <v>0</v>
      </c>
      <c r="E86" s="4" t="n">
        <v>900</v>
      </c>
      <c r="F86" s="2" t="inlineStr">
        <is>
          <t>Kabupaten Indramayu</t>
        </is>
      </c>
      <c r="G86" s="2" t="n"/>
      <c r="H86" s="2" t="n"/>
      <c r="I86" s="5" t="n">
        <v>45876</v>
      </c>
      <c r="J86" s="6" t="inlineStr">
        <is>
          <t>SJ-2025-OUT-0016</t>
        </is>
      </c>
      <c r="K86" s="4" t="n">
        <v>85000</v>
      </c>
      <c r="L86" s="4" t="n">
        <v>76500000</v>
      </c>
    </row>
    <row r="87" ht="20" customHeight="1">
      <c r="A87" s="7" t="inlineStr">
        <is>
          <t>APBD</t>
        </is>
      </c>
      <c r="B87" s="8" t="inlineStr">
        <is>
          <t>Genset</t>
        </is>
      </c>
      <c r="C87" s="7" t="inlineStr">
        <is>
          <t>Logistik Lainnya</t>
        </is>
      </c>
      <c r="D87" s="9" t="n">
        <v>24</v>
      </c>
      <c r="E87" s="9" t="n">
        <v>0</v>
      </c>
      <c r="F87" s="7" t="inlineStr">
        <is>
          <t>-</t>
        </is>
      </c>
      <c r="G87" s="7" t="n"/>
      <c r="H87" s="10" t="n">
        <v>45878</v>
      </c>
      <c r="I87" s="7" t="n"/>
      <c r="J87" s="11" t="inlineStr">
        <is>
          <t>BAST-2025-IN-0070</t>
        </is>
      </c>
      <c r="K87" s="9" t="n">
        <v>12500000</v>
      </c>
      <c r="L87" s="9" t="n">
        <v>300000000</v>
      </c>
    </row>
    <row r="88" ht="20" customHeight="1">
      <c r="A88" s="2" t="inlineStr">
        <is>
          <t>APBD</t>
        </is>
      </c>
      <c r="B88" s="3" t="inlineStr">
        <is>
          <t>Air Mineral</t>
        </is>
      </c>
      <c r="C88" s="2" t="inlineStr">
        <is>
          <t>Pangan</t>
        </is>
      </c>
      <c r="D88" s="4" t="n">
        <v>3750</v>
      </c>
      <c r="E88" s="4" t="n">
        <v>0</v>
      </c>
      <c r="F88" s="2" t="inlineStr">
        <is>
          <t>-</t>
        </is>
      </c>
      <c r="G88" s="2" t="n"/>
      <c r="H88" s="5" t="n">
        <v>45881</v>
      </c>
      <c r="I88" s="2" t="n"/>
      <c r="J88" s="6" t="inlineStr">
        <is>
          <t>BAST-2025-IN-0071</t>
        </is>
      </c>
      <c r="K88" s="4" t="n">
        <v>30000</v>
      </c>
      <c r="L88" s="4" t="n">
        <v>112500000</v>
      </c>
    </row>
    <row r="89" ht="20" customHeight="1">
      <c r="A89" s="7" t="inlineStr">
        <is>
          <t>CSR</t>
        </is>
      </c>
      <c r="B89" s="8" t="inlineStr">
        <is>
          <t>Pakaian Anak</t>
        </is>
      </c>
      <c r="C89" s="7" t="inlineStr">
        <is>
          <t>Sandang</t>
        </is>
      </c>
      <c r="D89" s="9" t="n">
        <v>500</v>
      </c>
      <c r="E89" s="9" t="n">
        <v>0</v>
      </c>
      <c r="F89" s="7" t="inlineStr">
        <is>
          <t>-</t>
        </is>
      </c>
      <c r="G89" s="7" t="n"/>
      <c r="H89" s="10" t="n">
        <v>45882</v>
      </c>
      <c r="I89" s="7" t="n"/>
      <c r="J89" s="11" t="inlineStr">
        <is>
          <t>BAST-2025-IN-0072</t>
        </is>
      </c>
      <c r="K89" s="9" t="n">
        <v>75000</v>
      </c>
      <c r="L89" s="9" t="n">
        <v>37500000</v>
      </c>
    </row>
    <row r="90" ht="20" customHeight="1">
      <c r="A90" s="2" t="inlineStr">
        <is>
          <t>APBD</t>
        </is>
      </c>
      <c r="B90" s="3" t="inlineStr">
        <is>
          <t>Tenda Keluarga</t>
        </is>
      </c>
      <c r="C90" s="2" t="inlineStr">
        <is>
          <t>Papan</t>
        </is>
      </c>
      <c r="D90" s="4" t="n">
        <v>190</v>
      </c>
      <c r="E90" s="4" t="n">
        <v>0</v>
      </c>
      <c r="F90" s="2" t="inlineStr">
        <is>
          <t>-</t>
        </is>
      </c>
      <c r="G90" s="2" t="n"/>
      <c r="H90" s="5" t="n">
        <v>45882</v>
      </c>
      <c r="I90" s="2" t="n"/>
      <c r="J90" s="6" t="inlineStr">
        <is>
          <t>BAST-2025-IN-0073</t>
        </is>
      </c>
      <c r="K90" s="4" t="n">
        <v>3200000</v>
      </c>
      <c r="L90" s="4" t="n">
        <v>608000000</v>
      </c>
    </row>
    <row r="91" ht="20" customHeight="1">
      <c r="A91" s="7" t="inlineStr">
        <is>
          <t>APBN</t>
        </is>
      </c>
      <c r="B91" s="8" t="inlineStr">
        <is>
          <t>Sanitasi Kit</t>
        </is>
      </c>
      <c r="C91" s="7" t="inlineStr">
        <is>
          <t>Logistik Lainnya</t>
        </is>
      </c>
      <c r="D91" s="9" t="n">
        <v>700</v>
      </c>
      <c r="E91" s="9" t="n">
        <v>0</v>
      </c>
      <c r="F91" s="7" t="inlineStr">
        <is>
          <t>-</t>
        </is>
      </c>
      <c r="G91" s="10" t="n">
        <v>46494</v>
      </c>
      <c r="H91" s="10" t="n">
        <v>45883</v>
      </c>
      <c r="I91" s="7" t="n"/>
      <c r="J91" s="11" t="inlineStr">
        <is>
          <t>BAST-2025-IN-0074</t>
        </is>
      </c>
      <c r="K91" s="9" t="n">
        <v>250000</v>
      </c>
      <c r="L91" s="9" t="n">
        <v>175000000</v>
      </c>
    </row>
    <row r="92" ht="20" customHeight="1">
      <c r="A92" s="2" t="inlineStr">
        <is>
          <t>APBD</t>
        </is>
      </c>
      <c r="B92" s="3" t="inlineStr">
        <is>
          <t>Makanan Siap Saji</t>
        </is>
      </c>
      <c r="C92" s="2" t="inlineStr">
        <is>
          <t>Pangan</t>
        </is>
      </c>
      <c r="D92" s="4" t="n">
        <v>4000</v>
      </c>
      <c r="E92" s="4" t="n">
        <v>0</v>
      </c>
      <c r="F92" s="2" t="inlineStr">
        <is>
          <t>-</t>
        </is>
      </c>
      <c r="G92" s="2" t="n"/>
      <c r="H92" s="5" t="n">
        <v>45883</v>
      </c>
      <c r="I92" s="2" t="n"/>
      <c r="J92" s="6" t="inlineStr">
        <is>
          <t>BAST-2025-IN-0075</t>
        </is>
      </c>
      <c r="K92" s="4" t="n">
        <v>45000</v>
      </c>
      <c r="L92" s="4" t="n">
        <v>180000000</v>
      </c>
    </row>
    <row r="93" ht="20" customHeight="1">
      <c r="A93" s="7" t="inlineStr">
        <is>
          <t>CSR</t>
        </is>
      </c>
      <c r="B93" s="8" t="inlineStr">
        <is>
          <t>Air Mineral</t>
        </is>
      </c>
      <c r="C93" s="7" t="inlineStr">
        <is>
          <t>Pangan</t>
        </is>
      </c>
      <c r="D93" s="9" t="n">
        <v>4300</v>
      </c>
      <c r="E93" s="9" t="n">
        <v>0</v>
      </c>
      <c r="F93" s="7" t="inlineStr">
        <is>
          <t>-</t>
        </is>
      </c>
      <c r="G93" s="10" t="n">
        <v>46786</v>
      </c>
      <c r="H93" s="10" t="n">
        <v>45886</v>
      </c>
      <c r="I93" s="7" t="n"/>
      <c r="J93" s="11" t="inlineStr">
        <is>
          <t>BAST-2025-IN-0076</t>
        </is>
      </c>
      <c r="K93" s="9" t="n">
        <v>30000</v>
      </c>
      <c r="L93" s="9" t="n">
        <v>129000000</v>
      </c>
    </row>
    <row r="94" ht="20" customHeight="1">
      <c r="A94" s="2" t="inlineStr">
        <is>
          <t>APBD</t>
        </is>
      </c>
      <c r="B94" s="3" t="inlineStr">
        <is>
          <t>Beras</t>
        </is>
      </c>
      <c r="C94" s="2" t="inlineStr">
        <is>
          <t>Pangan</t>
        </is>
      </c>
      <c r="D94" s="4" t="n">
        <v>11750</v>
      </c>
      <c r="E94" s="4" t="n">
        <v>0</v>
      </c>
      <c r="F94" s="2" t="inlineStr">
        <is>
          <t>-</t>
        </is>
      </c>
      <c r="G94" s="5" t="n">
        <v>46515</v>
      </c>
      <c r="H94" s="5" t="n">
        <v>45888</v>
      </c>
      <c r="I94" s="2" t="n"/>
      <c r="J94" s="6" t="inlineStr">
        <is>
          <t>BAST-2025-IN-0077</t>
        </is>
      </c>
      <c r="K94" s="4" t="n">
        <v>15000</v>
      </c>
      <c r="L94" s="4" t="n">
        <v>176250000</v>
      </c>
    </row>
    <row r="95" ht="20" customHeight="1">
      <c r="A95" s="7" t="inlineStr">
        <is>
          <t>APBN</t>
        </is>
      </c>
      <c r="B95" s="8" t="inlineStr">
        <is>
          <t>Susu Formula</t>
        </is>
      </c>
      <c r="C95" s="7" t="inlineStr">
        <is>
          <t>Pangan</t>
        </is>
      </c>
      <c r="D95" s="9" t="n">
        <v>700</v>
      </c>
      <c r="E95" s="9" t="n">
        <v>0</v>
      </c>
      <c r="F95" s="7" t="inlineStr">
        <is>
          <t>-</t>
        </is>
      </c>
      <c r="G95" s="10" t="n">
        <v>46176</v>
      </c>
      <c r="H95" s="10" t="n">
        <v>45891</v>
      </c>
      <c r="I95" s="7" t="n"/>
      <c r="J95" s="11" t="inlineStr">
        <is>
          <t>BAST-2025-IN-0078</t>
        </is>
      </c>
      <c r="K95" s="9" t="n">
        <v>65000</v>
      </c>
      <c r="L95" s="9" t="n">
        <v>45500000</v>
      </c>
    </row>
    <row r="96" ht="20" customHeight="1">
      <c r="A96" s="2" t="inlineStr">
        <is>
          <t>APBN</t>
        </is>
      </c>
      <c r="B96" s="3" t="inlineStr">
        <is>
          <t>Susu Formula</t>
        </is>
      </c>
      <c r="C96" s="2" t="inlineStr">
        <is>
          <t>Pangan</t>
        </is>
      </c>
      <c r="D96" s="4" t="n">
        <v>1050</v>
      </c>
      <c r="E96" s="4" t="n">
        <v>0</v>
      </c>
      <c r="F96" s="2" t="inlineStr">
        <is>
          <t>-</t>
        </is>
      </c>
      <c r="G96" s="5" t="n">
        <v>46398</v>
      </c>
      <c r="H96" s="5" t="n">
        <v>45892</v>
      </c>
      <c r="I96" s="2" t="n"/>
      <c r="J96" s="6" t="inlineStr">
        <is>
          <t>BAST-2025-IN-0079</t>
        </is>
      </c>
      <c r="K96" s="4" t="n">
        <v>65000</v>
      </c>
      <c r="L96" s="4" t="n">
        <v>68250000</v>
      </c>
    </row>
    <row r="97" ht="20" customHeight="1">
      <c r="A97" s="7" t="inlineStr">
        <is>
          <t>APBD</t>
        </is>
      </c>
      <c r="B97" s="8" t="inlineStr">
        <is>
          <t>Family Kit</t>
        </is>
      </c>
      <c r="C97" s="7" t="inlineStr">
        <is>
          <t>Logistik Lainnya</t>
        </is>
      </c>
      <c r="D97" s="9" t="n">
        <v>450</v>
      </c>
      <c r="E97" s="9" t="n">
        <v>0</v>
      </c>
      <c r="F97" s="7" t="inlineStr">
        <is>
          <t>-</t>
        </is>
      </c>
      <c r="G97" s="7" t="n"/>
      <c r="H97" s="10" t="n">
        <v>45893</v>
      </c>
      <c r="I97" s="7" t="n"/>
      <c r="J97" s="11" t="inlineStr">
        <is>
          <t>BAST-2025-IN-0080</t>
        </is>
      </c>
      <c r="K97" s="9" t="n">
        <v>350000</v>
      </c>
      <c r="L97" s="9" t="n">
        <v>157500000</v>
      </c>
    </row>
    <row r="98" ht="20" customHeight="1">
      <c r="A98" s="2" t="inlineStr">
        <is>
          <t>APBD</t>
        </is>
      </c>
      <c r="B98" s="3" t="inlineStr">
        <is>
          <t>Perahu Karet</t>
        </is>
      </c>
      <c r="C98" s="2" t="inlineStr">
        <is>
          <t>Logistik Lainnya</t>
        </is>
      </c>
      <c r="D98" s="4" t="n">
        <v>14</v>
      </c>
      <c r="E98" s="4" t="n">
        <v>0</v>
      </c>
      <c r="F98" s="2" t="inlineStr">
        <is>
          <t>-</t>
        </is>
      </c>
      <c r="G98" s="2" t="n"/>
      <c r="H98" s="5" t="n">
        <v>45896</v>
      </c>
      <c r="I98" s="2" t="n"/>
      <c r="J98" s="6" t="inlineStr">
        <is>
          <t>BAST-2025-IN-0081</t>
        </is>
      </c>
      <c r="K98" s="4" t="n">
        <v>35000000</v>
      </c>
      <c r="L98" s="4" t="n">
        <v>490000000</v>
      </c>
    </row>
    <row r="99" ht="20" customHeight="1">
      <c r="A99" s="7" t="inlineStr">
        <is>
          <t>APBN</t>
        </is>
      </c>
      <c r="B99" s="8" t="inlineStr">
        <is>
          <t>Pakaian Anak</t>
        </is>
      </c>
      <c r="C99" s="7" t="inlineStr">
        <is>
          <t>Sandang</t>
        </is>
      </c>
      <c r="D99" s="9" t="n">
        <v>1450</v>
      </c>
      <c r="E99" s="9" t="n">
        <v>0</v>
      </c>
      <c r="F99" s="7" t="inlineStr">
        <is>
          <t>-</t>
        </is>
      </c>
      <c r="G99" s="7" t="n"/>
      <c r="H99" s="10" t="n">
        <v>45896</v>
      </c>
      <c r="I99" s="7" t="n"/>
      <c r="J99" s="11" t="inlineStr">
        <is>
          <t>BAST-2025-IN-0082</t>
        </is>
      </c>
      <c r="K99" s="9" t="n">
        <v>75000</v>
      </c>
      <c r="L99" s="9" t="n">
        <v>108750000</v>
      </c>
    </row>
    <row r="100" ht="20" customHeight="1">
      <c r="A100" s="2" t="inlineStr">
        <is>
          <t>APBN</t>
        </is>
      </c>
      <c r="B100" s="3" t="inlineStr">
        <is>
          <t>Pakaian Dewasa</t>
        </is>
      </c>
      <c r="C100" s="2" t="inlineStr">
        <is>
          <t>Sandang</t>
        </is>
      </c>
      <c r="D100" s="4" t="n">
        <v>1900</v>
      </c>
      <c r="E100" s="4" t="n">
        <v>0</v>
      </c>
      <c r="F100" s="2" t="inlineStr">
        <is>
          <t>-</t>
        </is>
      </c>
      <c r="G100" s="2" t="n"/>
      <c r="H100" s="5" t="n">
        <v>45903</v>
      </c>
      <c r="I100" s="2" t="n"/>
      <c r="J100" s="6" t="inlineStr">
        <is>
          <t>BAST-2025-IN-0083</t>
        </is>
      </c>
      <c r="K100" s="4" t="n">
        <v>95000</v>
      </c>
      <c r="L100" s="4" t="n">
        <v>180500000</v>
      </c>
    </row>
    <row r="101" ht="20" customHeight="1">
      <c r="A101" s="7" t="inlineStr">
        <is>
          <t>APBN</t>
        </is>
      </c>
      <c r="B101" s="8" t="inlineStr">
        <is>
          <t>Beras</t>
        </is>
      </c>
      <c r="C101" s="7" t="inlineStr">
        <is>
          <t>Pangan</t>
        </is>
      </c>
      <c r="D101" s="9" t="n">
        <v>14150</v>
      </c>
      <c r="E101" s="9" t="n">
        <v>0</v>
      </c>
      <c r="F101" s="7" t="inlineStr">
        <is>
          <t>-</t>
        </is>
      </c>
      <c r="G101" s="7" t="n"/>
      <c r="H101" s="10" t="n">
        <v>45904</v>
      </c>
      <c r="I101" s="7" t="n"/>
      <c r="J101" s="11" t="inlineStr">
        <is>
          <t>BAST-2025-IN-0084</t>
        </is>
      </c>
      <c r="K101" s="9" t="n">
        <v>15000</v>
      </c>
      <c r="L101" s="9" t="n">
        <v>212250000</v>
      </c>
    </row>
    <row r="102" ht="20" customHeight="1">
      <c r="A102" s="2" t="inlineStr">
        <is>
          <t>CSR</t>
        </is>
      </c>
      <c r="B102" s="3" t="inlineStr">
        <is>
          <t>Seng</t>
        </is>
      </c>
      <c r="C102" s="2" t="inlineStr">
        <is>
          <t>Papan</t>
        </is>
      </c>
      <c r="D102" s="4" t="n">
        <v>300</v>
      </c>
      <c r="E102" s="4" t="n">
        <v>0</v>
      </c>
      <c r="F102" s="2" t="inlineStr">
        <is>
          <t>-</t>
        </is>
      </c>
      <c r="G102" s="2" t="n"/>
      <c r="H102" s="5" t="n">
        <v>45908</v>
      </c>
      <c r="I102" s="2" t="n"/>
      <c r="J102" s="6" t="inlineStr">
        <is>
          <t>BAST-2025-IN-0085</t>
        </is>
      </c>
      <c r="K102" s="4" t="n">
        <v>90000</v>
      </c>
      <c r="L102" s="4" t="n">
        <v>27000000</v>
      </c>
    </row>
    <row r="103" ht="20" customHeight="1">
      <c r="A103" s="7" t="inlineStr">
        <is>
          <t>CSR</t>
        </is>
      </c>
      <c r="B103" s="8" t="inlineStr">
        <is>
          <t>Susu Formula</t>
        </is>
      </c>
      <c r="C103" s="7" t="inlineStr">
        <is>
          <t>Pangan</t>
        </is>
      </c>
      <c r="D103" s="9" t="n">
        <v>300</v>
      </c>
      <c r="E103" s="9" t="n">
        <v>0</v>
      </c>
      <c r="F103" s="7" t="inlineStr">
        <is>
          <t>-</t>
        </is>
      </c>
      <c r="G103" s="10" t="n">
        <v>46343</v>
      </c>
      <c r="H103" s="10" t="n">
        <v>45908</v>
      </c>
      <c r="I103" s="7" t="n"/>
      <c r="J103" s="11" t="inlineStr">
        <is>
          <t>BAST-2025-IN-0086</t>
        </is>
      </c>
      <c r="K103" s="9" t="n">
        <v>65000</v>
      </c>
      <c r="L103" s="9" t="n">
        <v>19500000</v>
      </c>
    </row>
    <row r="104" ht="20" customHeight="1">
      <c r="A104" s="2" t="inlineStr">
        <is>
          <t>APBD</t>
        </is>
      </c>
      <c r="B104" s="3" t="inlineStr">
        <is>
          <t>Sanitasi Kit</t>
        </is>
      </c>
      <c r="C104" s="2" t="inlineStr">
        <is>
          <t>Logistik Lainnya</t>
        </is>
      </c>
      <c r="D104" s="4" t="n">
        <v>1100</v>
      </c>
      <c r="E104" s="4" t="n">
        <v>0</v>
      </c>
      <c r="F104" s="2" t="inlineStr">
        <is>
          <t>-</t>
        </is>
      </c>
      <c r="G104" s="5" t="n">
        <v>46594</v>
      </c>
      <c r="H104" s="5" t="n">
        <v>45910</v>
      </c>
      <c r="I104" s="2" t="n"/>
      <c r="J104" s="6" t="inlineStr">
        <is>
          <t>BAST-2025-IN-0087</t>
        </is>
      </c>
      <c r="K104" s="4" t="n">
        <v>250000</v>
      </c>
      <c r="L104" s="4" t="n">
        <v>275000000</v>
      </c>
    </row>
    <row r="105" ht="20" customHeight="1">
      <c r="A105" s="7" t="inlineStr">
        <is>
          <t>APBN</t>
        </is>
      </c>
      <c r="B105" s="8" t="inlineStr">
        <is>
          <t>Perahu Karet</t>
        </is>
      </c>
      <c r="C105" s="7" t="inlineStr">
        <is>
          <t>Logistik Lainnya</t>
        </is>
      </c>
      <c r="D105" s="9" t="n">
        <v>16</v>
      </c>
      <c r="E105" s="9" t="n">
        <v>0</v>
      </c>
      <c r="F105" s="7" t="inlineStr">
        <is>
          <t>-</t>
        </is>
      </c>
      <c r="G105" s="7" t="n"/>
      <c r="H105" s="10" t="n">
        <v>45911</v>
      </c>
      <c r="I105" s="7" t="n"/>
      <c r="J105" s="11" t="inlineStr">
        <is>
          <t>BAST-2025-IN-0088</t>
        </is>
      </c>
      <c r="K105" s="9" t="n">
        <v>35000000</v>
      </c>
      <c r="L105" s="9" t="n">
        <v>560000000</v>
      </c>
    </row>
    <row r="106" ht="20" customHeight="1">
      <c r="A106" s="2" t="inlineStr">
        <is>
          <t>APBN</t>
        </is>
      </c>
      <c r="B106" s="3" t="inlineStr">
        <is>
          <t>Family Kit</t>
        </is>
      </c>
      <c r="C106" s="2" t="inlineStr">
        <is>
          <t>Logistik Lainnya</t>
        </is>
      </c>
      <c r="D106" s="4" t="n">
        <v>0</v>
      </c>
      <c r="E106" s="4" t="n">
        <v>750</v>
      </c>
      <c r="F106" s="2" t="inlineStr">
        <is>
          <t>Kota Depok</t>
        </is>
      </c>
      <c r="G106" s="2" t="n"/>
      <c r="H106" s="2" t="n"/>
      <c r="I106" s="5" t="n">
        <v>45911</v>
      </c>
      <c r="J106" s="6" t="inlineStr">
        <is>
          <t>SJ-2025-OUT-0017</t>
        </is>
      </c>
      <c r="K106" s="4" t="n">
        <v>350000</v>
      </c>
      <c r="L106" s="4" t="n">
        <v>262500000</v>
      </c>
    </row>
    <row r="107" ht="20" customHeight="1">
      <c r="A107" s="7" t="inlineStr">
        <is>
          <t>APBD</t>
        </is>
      </c>
      <c r="B107" s="8" t="inlineStr">
        <is>
          <t>Susu Formula</t>
        </is>
      </c>
      <c r="C107" s="7" t="inlineStr">
        <is>
          <t>Pangan</t>
        </is>
      </c>
      <c r="D107" s="9" t="n">
        <v>650</v>
      </c>
      <c r="E107" s="9" t="n">
        <v>0</v>
      </c>
      <c r="F107" s="7" t="inlineStr">
        <is>
          <t>-</t>
        </is>
      </c>
      <c r="G107" s="7" t="n"/>
      <c r="H107" s="10" t="n">
        <v>45915</v>
      </c>
      <c r="I107" s="7" t="n"/>
      <c r="J107" s="11" t="inlineStr">
        <is>
          <t>BAST-2025-IN-0089</t>
        </is>
      </c>
      <c r="K107" s="9" t="n">
        <v>65000</v>
      </c>
      <c r="L107" s="9" t="n">
        <v>42250000</v>
      </c>
    </row>
    <row r="108" ht="20" customHeight="1">
      <c r="A108" s="2" t="inlineStr">
        <is>
          <t>CSR</t>
        </is>
      </c>
      <c r="B108" s="3" t="inlineStr">
        <is>
          <t>Perahu Karet</t>
        </is>
      </c>
      <c r="C108" s="2" t="inlineStr">
        <is>
          <t>Logistik Lainnya</t>
        </is>
      </c>
      <c r="D108" s="4" t="n">
        <v>22</v>
      </c>
      <c r="E108" s="4" t="n">
        <v>0</v>
      </c>
      <c r="F108" s="2" t="inlineStr">
        <is>
          <t>-</t>
        </is>
      </c>
      <c r="G108" s="2" t="n"/>
      <c r="H108" s="5" t="n">
        <v>45927</v>
      </c>
      <c r="I108" s="2" t="n"/>
      <c r="J108" s="6" t="inlineStr">
        <is>
          <t>BAST-2025-IN-0090</t>
        </is>
      </c>
      <c r="K108" s="4" t="n">
        <v>35000000</v>
      </c>
      <c r="L108" s="4" t="n">
        <v>770000000</v>
      </c>
    </row>
    <row r="109" ht="20" customHeight="1">
      <c r="A109" s="7" t="inlineStr">
        <is>
          <t>APBN</t>
        </is>
      </c>
      <c r="B109" s="8" t="inlineStr">
        <is>
          <t>Biskuit</t>
        </is>
      </c>
      <c r="C109" s="7" t="inlineStr">
        <is>
          <t>Pangan</t>
        </is>
      </c>
      <c r="D109" s="9" t="n">
        <v>2100</v>
      </c>
      <c r="E109" s="9" t="n">
        <v>0</v>
      </c>
      <c r="F109" s="7" t="inlineStr">
        <is>
          <t>-</t>
        </is>
      </c>
      <c r="G109" s="10" t="n">
        <v>46430</v>
      </c>
      <c r="H109" s="10" t="n">
        <v>45927</v>
      </c>
      <c r="I109" s="7" t="n"/>
      <c r="J109" s="11" t="inlineStr">
        <is>
          <t>BAST-2025-IN-0091</t>
        </is>
      </c>
      <c r="K109" s="9" t="n">
        <v>25000</v>
      </c>
      <c r="L109" s="9" t="n">
        <v>52500000</v>
      </c>
    </row>
    <row r="110" ht="20" customHeight="1">
      <c r="A110" s="2" t="inlineStr">
        <is>
          <t>APBD</t>
        </is>
      </c>
      <c r="B110" s="3" t="inlineStr">
        <is>
          <t>Air Mineral</t>
        </is>
      </c>
      <c r="C110" s="2" t="inlineStr">
        <is>
          <t>Pangan</t>
        </is>
      </c>
      <c r="D110" s="4" t="n">
        <v>4900</v>
      </c>
      <c r="E110" s="4" t="n">
        <v>0</v>
      </c>
      <c r="F110" s="2" t="inlineStr">
        <is>
          <t>-</t>
        </is>
      </c>
      <c r="G110" s="5" t="n">
        <v>46312</v>
      </c>
      <c r="H110" s="5" t="n">
        <v>45928</v>
      </c>
      <c r="I110" s="2" t="n"/>
      <c r="J110" s="6" t="inlineStr">
        <is>
          <t>BAST-2025-IN-0092</t>
        </is>
      </c>
      <c r="K110" s="4" t="n">
        <v>30000</v>
      </c>
      <c r="L110" s="4" t="n">
        <v>147000000</v>
      </c>
    </row>
    <row r="111" ht="20" customHeight="1">
      <c r="A111" s="7" t="inlineStr">
        <is>
          <t>APBN</t>
        </is>
      </c>
      <c r="B111" s="8" t="inlineStr">
        <is>
          <t>Makanan Siap Saji</t>
        </is>
      </c>
      <c r="C111" s="7" t="inlineStr">
        <is>
          <t>Pangan</t>
        </is>
      </c>
      <c r="D111" s="9" t="n">
        <v>1000</v>
      </c>
      <c r="E111" s="9" t="n">
        <v>0</v>
      </c>
      <c r="F111" s="7" t="inlineStr">
        <is>
          <t>-</t>
        </is>
      </c>
      <c r="G111" s="10" t="n">
        <v>46501</v>
      </c>
      <c r="H111" s="10" t="n">
        <v>45929</v>
      </c>
      <c r="I111" s="7" t="n"/>
      <c r="J111" s="11" t="inlineStr">
        <is>
          <t>BAST-2025-IN-0093</t>
        </is>
      </c>
      <c r="K111" s="9" t="n">
        <v>45000</v>
      </c>
      <c r="L111" s="9" t="n">
        <v>45000000</v>
      </c>
    </row>
    <row r="112" ht="20" customHeight="1">
      <c r="A112" s="2" t="inlineStr">
        <is>
          <t>APBD</t>
        </is>
      </c>
      <c r="B112" s="3" t="inlineStr">
        <is>
          <t>Matras</t>
        </is>
      </c>
      <c r="C112" s="2" t="inlineStr">
        <is>
          <t>Sandang</t>
        </is>
      </c>
      <c r="D112" s="4" t="n">
        <v>550</v>
      </c>
      <c r="E112" s="4" t="n">
        <v>0</v>
      </c>
      <c r="F112" s="2" t="inlineStr">
        <is>
          <t>-</t>
        </is>
      </c>
      <c r="G112" s="2" t="n"/>
      <c r="H112" s="5" t="n">
        <v>45929</v>
      </c>
      <c r="I112" s="2" t="n"/>
      <c r="J112" s="6" t="inlineStr">
        <is>
          <t>BAST-2025-IN-0094</t>
        </is>
      </c>
      <c r="K112" s="4" t="n">
        <v>120000</v>
      </c>
      <c r="L112" s="4" t="n">
        <v>66000000</v>
      </c>
    </row>
    <row r="113" ht="20" customHeight="1">
      <c r="A113" s="7" t="inlineStr">
        <is>
          <t>APBD</t>
        </is>
      </c>
      <c r="B113" s="8" t="inlineStr">
        <is>
          <t>Tenda Keluarga</t>
        </is>
      </c>
      <c r="C113" s="7" t="inlineStr">
        <is>
          <t>Papan</t>
        </is>
      </c>
      <c r="D113" s="9" t="n">
        <v>210</v>
      </c>
      <c r="E113" s="9" t="n">
        <v>0</v>
      </c>
      <c r="F113" s="7" t="inlineStr">
        <is>
          <t>-</t>
        </is>
      </c>
      <c r="G113" s="7" t="n"/>
      <c r="H113" s="10" t="n">
        <v>45931</v>
      </c>
      <c r="I113" s="7" t="n"/>
      <c r="J113" s="11" t="inlineStr">
        <is>
          <t>BAST-2025-IN-0095</t>
        </is>
      </c>
      <c r="K113" s="9" t="n">
        <v>3200000</v>
      </c>
      <c r="L113" s="9" t="n">
        <v>672000000</v>
      </c>
    </row>
    <row r="114" ht="20" customHeight="1">
      <c r="A114" s="2" t="inlineStr">
        <is>
          <t>CSR</t>
        </is>
      </c>
      <c r="B114" s="3" t="inlineStr">
        <is>
          <t>Selimut</t>
        </is>
      </c>
      <c r="C114" s="2" t="inlineStr">
        <is>
          <t>Sandang</t>
        </is>
      </c>
      <c r="D114" s="4" t="n">
        <v>1950</v>
      </c>
      <c r="E114" s="4" t="n">
        <v>0</v>
      </c>
      <c r="F114" s="2" t="inlineStr">
        <is>
          <t>-</t>
        </is>
      </c>
      <c r="G114" s="2" t="n"/>
      <c r="H114" s="5" t="n">
        <v>45931</v>
      </c>
      <c r="I114" s="2" t="n"/>
      <c r="J114" s="6" t="inlineStr">
        <is>
          <t>BAST-2025-IN-0096</t>
        </is>
      </c>
      <c r="K114" s="4" t="n">
        <v>85000</v>
      </c>
      <c r="L114" s="4" t="n">
        <v>165750000</v>
      </c>
    </row>
    <row r="115" ht="20" customHeight="1">
      <c r="A115" s="7" t="inlineStr">
        <is>
          <t>CSR</t>
        </is>
      </c>
      <c r="B115" s="8" t="inlineStr">
        <is>
          <t>Tenda Keluarga</t>
        </is>
      </c>
      <c r="C115" s="7" t="inlineStr">
        <is>
          <t>Papan</t>
        </is>
      </c>
      <c r="D115" s="9" t="n">
        <v>140</v>
      </c>
      <c r="E115" s="9" t="n">
        <v>0</v>
      </c>
      <c r="F115" s="7" t="inlineStr">
        <is>
          <t>-</t>
        </is>
      </c>
      <c r="G115" s="7" t="n"/>
      <c r="H115" s="10" t="n">
        <v>45932</v>
      </c>
      <c r="I115" s="7" t="n"/>
      <c r="J115" s="11" t="inlineStr">
        <is>
          <t>BAST-2025-IN-0097</t>
        </is>
      </c>
      <c r="K115" s="9" t="n">
        <v>3200000</v>
      </c>
      <c r="L115" s="9" t="n">
        <v>448000000</v>
      </c>
    </row>
    <row r="116" ht="20" customHeight="1">
      <c r="A116" s="2" t="inlineStr">
        <is>
          <t>APBN</t>
        </is>
      </c>
      <c r="B116" s="3" t="inlineStr">
        <is>
          <t>Tenda Pengungsi</t>
        </is>
      </c>
      <c r="C116" s="2" t="inlineStr">
        <is>
          <t>Papan</t>
        </is>
      </c>
      <c r="D116" s="4" t="n">
        <v>80</v>
      </c>
      <c r="E116" s="4" t="n">
        <v>0</v>
      </c>
      <c r="F116" s="2" t="inlineStr">
        <is>
          <t>-</t>
        </is>
      </c>
      <c r="G116" s="2" t="n"/>
      <c r="H116" s="5" t="n">
        <v>45934</v>
      </c>
      <c r="I116" s="2" t="n"/>
      <c r="J116" s="6" t="inlineStr">
        <is>
          <t>BAST-2025-IN-0098</t>
        </is>
      </c>
      <c r="K116" s="4" t="n">
        <v>8500000</v>
      </c>
      <c r="L116" s="4" t="n">
        <v>680000000</v>
      </c>
    </row>
    <row r="117" ht="20" customHeight="1">
      <c r="A117" s="7" t="inlineStr">
        <is>
          <t>APBD</t>
        </is>
      </c>
      <c r="B117" s="8" t="inlineStr">
        <is>
          <t>Terpal</t>
        </is>
      </c>
      <c r="C117" s="7" t="inlineStr">
        <is>
          <t>Papan</t>
        </is>
      </c>
      <c r="D117" s="9" t="n">
        <v>550</v>
      </c>
      <c r="E117" s="9" t="n">
        <v>0</v>
      </c>
      <c r="F117" s="7" t="inlineStr">
        <is>
          <t>-</t>
        </is>
      </c>
      <c r="G117" s="7" t="n"/>
      <c r="H117" s="10" t="n">
        <v>45939</v>
      </c>
      <c r="I117" s="7" t="n"/>
      <c r="J117" s="11" t="inlineStr">
        <is>
          <t>BAST-2025-IN-0099</t>
        </is>
      </c>
      <c r="K117" s="9" t="n">
        <v>150000</v>
      </c>
      <c r="L117" s="9" t="n">
        <v>82500000</v>
      </c>
    </row>
    <row r="118" ht="20" customHeight="1">
      <c r="A118" s="2" t="inlineStr">
        <is>
          <t>APBD</t>
        </is>
      </c>
      <c r="B118" s="3" t="inlineStr">
        <is>
          <t>Susu Formula</t>
        </is>
      </c>
      <c r="C118" s="2" t="inlineStr">
        <is>
          <t>Pangan</t>
        </is>
      </c>
      <c r="D118" s="4" t="n">
        <v>650</v>
      </c>
      <c r="E118" s="4" t="n">
        <v>0</v>
      </c>
      <c r="F118" s="2" t="inlineStr">
        <is>
          <t>-</t>
        </is>
      </c>
      <c r="G118" s="5" t="n">
        <v>46225</v>
      </c>
      <c r="H118" s="5" t="n">
        <v>45942</v>
      </c>
      <c r="I118" s="2" t="n"/>
      <c r="J118" s="6" t="inlineStr">
        <is>
          <t>BAST-2025-IN-0100</t>
        </is>
      </c>
      <c r="K118" s="4" t="n">
        <v>65000</v>
      </c>
      <c r="L118" s="4" t="n">
        <v>42250000</v>
      </c>
    </row>
    <row r="119" ht="20" customHeight="1">
      <c r="A119" s="7" t="inlineStr">
        <is>
          <t>APBD</t>
        </is>
      </c>
      <c r="B119" s="8" t="inlineStr">
        <is>
          <t>Beras</t>
        </is>
      </c>
      <c r="C119" s="7" t="inlineStr">
        <is>
          <t>Pangan</t>
        </is>
      </c>
      <c r="D119" s="9" t="n">
        <v>14750</v>
      </c>
      <c r="E119" s="9" t="n">
        <v>0</v>
      </c>
      <c r="F119" s="7" t="inlineStr">
        <is>
          <t>-</t>
        </is>
      </c>
      <c r="G119" s="10" t="n">
        <v>46319</v>
      </c>
      <c r="H119" s="10" t="n">
        <v>45942</v>
      </c>
      <c r="I119" s="7" t="n"/>
      <c r="J119" s="11" t="inlineStr">
        <is>
          <t>BAST-2025-IN-0101</t>
        </is>
      </c>
      <c r="K119" s="9" t="n">
        <v>15000</v>
      </c>
      <c r="L119" s="9" t="n">
        <v>221250000</v>
      </c>
    </row>
    <row r="120" ht="20" customHeight="1">
      <c r="A120" s="2" t="inlineStr">
        <is>
          <t>CSR</t>
        </is>
      </c>
      <c r="B120" s="3" t="inlineStr">
        <is>
          <t>Selimut</t>
        </is>
      </c>
      <c r="C120" s="2" t="inlineStr">
        <is>
          <t>Sandang</t>
        </is>
      </c>
      <c r="D120" s="4" t="n">
        <v>1000</v>
      </c>
      <c r="E120" s="4" t="n">
        <v>0</v>
      </c>
      <c r="F120" s="2" t="inlineStr">
        <is>
          <t>-</t>
        </is>
      </c>
      <c r="G120" s="2" t="n"/>
      <c r="H120" s="5" t="n">
        <v>45942</v>
      </c>
      <c r="I120" s="2" t="n"/>
      <c r="J120" s="6" t="inlineStr">
        <is>
          <t>BAST-2025-IN-0102</t>
        </is>
      </c>
      <c r="K120" s="4" t="n">
        <v>85000</v>
      </c>
      <c r="L120" s="4" t="n">
        <v>85000000</v>
      </c>
    </row>
    <row r="121" ht="20" customHeight="1">
      <c r="A121" s="7" t="inlineStr">
        <is>
          <t>CSR</t>
        </is>
      </c>
      <c r="B121" s="8" t="inlineStr">
        <is>
          <t>Matras</t>
        </is>
      </c>
      <c r="C121" s="7" t="inlineStr">
        <is>
          <t>Sandang</t>
        </is>
      </c>
      <c r="D121" s="9" t="n">
        <v>0</v>
      </c>
      <c r="E121" s="9" t="n">
        <v>675</v>
      </c>
      <c r="F121" s="7" t="inlineStr">
        <is>
          <t>Kota Cirebon</t>
        </is>
      </c>
      <c r="G121" s="7" t="n"/>
      <c r="H121" s="7" t="n"/>
      <c r="I121" s="10" t="n">
        <v>45950</v>
      </c>
      <c r="J121" s="11" t="inlineStr">
        <is>
          <t>SJ-2025-OUT-0018</t>
        </is>
      </c>
      <c r="K121" s="9" t="n">
        <v>120000</v>
      </c>
      <c r="L121" s="9" t="n">
        <v>81000000</v>
      </c>
    </row>
    <row r="122" ht="20" customHeight="1">
      <c r="A122" s="2" t="inlineStr">
        <is>
          <t>CSR</t>
        </is>
      </c>
      <c r="B122" s="3" t="inlineStr">
        <is>
          <t>Family Kit</t>
        </is>
      </c>
      <c r="C122" s="2" t="inlineStr">
        <is>
          <t>Logistik Lainnya</t>
        </is>
      </c>
      <c r="D122" s="4" t="n">
        <v>1450</v>
      </c>
      <c r="E122" s="4" t="n">
        <v>0</v>
      </c>
      <c r="F122" s="2" t="inlineStr">
        <is>
          <t>-</t>
        </is>
      </c>
      <c r="G122" s="2" t="n"/>
      <c r="H122" s="5" t="n">
        <v>45954</v>
      </c>
      <c r="I122" s="2" t="n"/>
      <c r="J122" s="6" t="inlineStr">
        <is>
          <t>BAST-2025-IN-0103</t>
        </is>
      </c>
      <c r="K122" s="4" t="n">
        <v>350000</v>
      </c>
      <c r="L122" s="4" t="n">
        <v>507500000</v>
      </c>
    </row>
    <row r="123" ht="20" customHeight="1">
      <c r="A123" s="7" t="inlineStr">
        <is>
          <t>APBD</t>
        </is>
      </c>
      <c r="B123" s="8" t="inlineStr">
        <is>
          <t>Lauk Pauk</t>
        </is>
      </c>
      <c r="C123" s="7" t="inlineStr">
        <is>
          <t>Pangan</t>
        </is>
      </c>
      <c r="D123" s="9" t="n">
        <v>0</v>
      </c>
      <c r="E123" s="9" t="n">
        <v>1125</v>
      </c>
      <c r="F123" s="7" t="inlineStr">
        <is>
          <t>Kota Banjar</t>
        </is>
      </c>
      <c r="G123" s="7" t="n"/>
      <c r="H123" s="7" t="n"/>
      <c r="I123" s="10" t="n">
        <v>45957</v>
      </c>
      <c r="J123" s="11" t="inlineStr">
        <is>
          <t>SJ-2025-OUT-0019</t>
        </is>
      </c>
      <c r="K123" s="9" t="n">
        <v>35000</v>
      </c>
      <c r="L123" s="9" t="n">
        <v>39375000</v>
      </c>
    </row>
    <row r="124" ht="20" customHeight="1">
      <c r="A124" s="2" t="inlineStr">
        <is>
          <t>APBN</t>
        </is>
      </c>
      <c r="B124" s="3" t="inlineStr">
        <is>
          <t>Sarung</t>
        </is>
      </c>
      <c r="C124" s="2" t="inlineStr">
        <is>
          <t>Sandang</t>
        </is>
      </c>
      <c r="D124" s="4" t="n">
        <v>750</v>
      </c>
      <c r="E124" s="4" t="n">
        <v>0</v>
      </c>
      <c r="F124" s="2" t="inlineStr">
        <is>
          <t>-</t>
        </is>
      </c>
      <c r="G124" s="2" t="n"/>
      <c r="H124" s="5" t="n">
        <v>45958</v>
      </c>
      <c r="I124" s="2" t="n"/>
      <c r="J124" s="6" t="inlineStr">
        <is>
          <t>BAST-2025-IN-0104</t>
        </is>
      </c>
      <c r="K124" s="4" t="n">
        <v>60000</v>
      </c>
      <c r="L124" s="4" t="n">
        <v>45000000</v>
      </c>
    </row>
    <row r="125" ht="20" customHeight="1">
      <c r="A125" s="7" t="inlineStr">
        <is>
          <t>APBD</t>
        </is>
      </c>
      <c r="B125" s="8" t="inlineStr">
        <is>
          <t>Pakaian Anak</t>
        </is>
      </c>
      <c r="C125" s="7" t="inlineStr">
        <is>
          <t>Sandang</t>
        </is>
      </c>
      <c r="D125" s="9" t="n">
        <v>1050</v>
      </c>
      <c r="E125" s="9" t="n">
        <v>0</v>
      </c>
      <c r="F125" s="7" t="inlineStr">
        <is>
          <t>-</t>
        </is>
      </c>
      <c r="G125" s="7" t="n"/>
      <c r="H125" s="10" t="n">
        <v>45958</v>
      </c>
      <c r="I125" s="7" t="n"/>
      <c r="J125" s="11" t="inlineStr">
        <is>
          <t>BAST-2025-IN-0105</t>
        </is>
      </c>
      <c r="K125" s="9" t="n">
        <v>75000</v>
      </c>
      <c r="L125" s="9" t="n">
        <v>78750000</v>
      </c>
    </row>
    <row r="126" ht="20" customHeight="1">
      <c r="A126" s="2" t="inlineStr">
        <is>
          <t>APBD</t>
        </is>
      </c>
      <c r="B126" s="3" t="inlineStr">
        <is>
          <t>Susu Formula</t>
        </is>
      </c>
      <c r="C126" s="2" t="inlineStr">
        <is>
          <t>Pangan</t>
        </is>
      </c>
      <c r="D126" s="4" t="n">
        <v>0</v>
      </c>
      <c r="E126" s="4" t="n">
        <v>700</v>
      </c>
      <c r="F126" s="2" t="inlineStr">
        <is>
          <t>Kabupaten Cirebon</t>
        </is>
      </c>
      <c r="G126" s="2" t="n"/>
      <c r="H126" s="2" t="n"/>
      <c r="I126" s="5" t="n">
        <v>45958</v>
      </c>
      <c r="J126" s="6" t="inlineStr">
        <is>
          <t>SJ-2025-OUT-0020</t>
        </is>
      </c>
      <c r="K126" s="4" t="n">
        <v>65000</v>
      </c>
      <c r="L126" s="4" t="n">
        <v>45500000</v>
      </c>
    </row>
    <row r="127" ht="20" customHeight="1">
      <c r="A127" s="7" t="inlineStr">
        <is>
          <t>CSR</t>
        </is>
      </c>
      <c r="B127" s="8" t="inlineStr">
        <is>
          <t>Biskuit</t>
        </is>
      </c>
      <c r="C127" s="7" t="inlineStr">
        <is>
          <t>Pangan</t>
        </is>
      </c>
      <c r="D127" s="9" t="n">
        <v>0</v>
      </c>
      <c r="E127" s="9" t="n">
        <v>1525</v>
      </c>
      <c r="F127" s="7" t="inlineStr">
        <is>
          <t>Kota Depok</t>
        </is>
      </c>
      <c r="G127" s="7" t="n"/>
      <c r="H127" s="7" t="n"/>
      <c r="I127" s="10" t="n">
        <v>45962</v>
      </c>
      <c r="J127" s="11" t="inlineStr">
        <is>
          <t>SJ-2025-OUT-0021</t>
        </is>
      </c>
      <c r="K127" s="9" t="n">
        <v>25000</v>
      </c>
      <c r="L127" s="9" t="n">
        <v>38125000</v>
      </c>
    </row>
    <row r="128" ht="20" customHeight="1">
      <c r="A128" s="2" t="inlineStr">
        <is>
          <t>APBN</t>
        </is>
      </c>
      <c r="B128" s="3" t="inlineStr">
        <is>
          <t>Matras</t>
        </is>
      </c>
      <c r="C128" s="2" t="inlineStr">
        <is>
          <t>Sandang</t>
        </is>
      </c>
      <c r="D128" s="4" t="n">
        <v>650</v>
      </c>
      <c r="E128" s="4" t="n">
        <v>0</v>
      </c>
      <c r="F128" s="2" t="inlineStr">
        <is>
          <t>-</t>
        </is>
      </c>
      <c r="G128" s="2" t="n"/>
      <c r="H128" s="5" t="n">
        <v>45963</v>
      </c>
      <c r="I128" s="2" t="n"/>
      <c r="J128" s="6" t="inlineStr">
        <is>
          <t>BAST-2025-IN-0106</t>
        </is>
      </c>
      <c r="K128" s="4" t="n">
        <v>120000</v>
      </c>
      <c r="L128" s="4" t="n">
        <v>78000000</v>
      </c>
    </row>
    <row r="129" ht="20" customHeight="1">
      <c r="A129" s="7" t="inlineStr">
        <is>
          <t>APBD</t>
        </is>
      </c>
      <c r="B129" s="8" t="inlineStr">
        <is>
          <t>Air Mineral</t>
        </is>
      </c>
      <c r="C129" s="7" t="inlineStr">
        <is>
          <t>Pangan</t>
        </is>
      </c>
      <c r="D129" s="9" t="n">
        <v>2200</v>
      </c>
      <c r="E129" s="9" t="n">
        <v>0</v>
      </c>
      <c r="F129" s="7" t="inlineStr">
        <is>
          <t>-</t>
        </is>
      </c>
      <c r="G129" s="10" t="n">
        <v>46805</v>
      </c>
      <c r="H129" s="10" t="n">
        <v>45972</v>
      </c>
      <c r="I129" s="7" t="n"/>
      <c r="J129" s="11" t="inlineStr">
        <is>
          <t>BAST-2025-IN-0107</t>
        </is>
      </c>
      <c r="K129" s="9" t="n">
        <v>30000</v>
      </c>
      <c r="L129" s="9" t="n">
        <v>66000000</v>
      </c>
    </row>
    <row r="130" ht="20" customHeight="1">
      <c r="A130" s="2" t="inlineStr">
        <is>
          <t>APBD</t>
        </is>
      </c>
      <c r="B130" s="3" t="inlineStr">
        <is>
          <t>Terpal</t>
        </is>
      </c>
      <c r="C130" s="2" t="inlineStr">
        <is>
          <t>Papan</t>
        </is>
      </c>
      <c r="D130" s="4" t="n">
        <v>600</v>
      </c>
      <c r="E130" s="4" t="n">
        <v>0</v>
      </c>
      <c r="F130" s="2" t="inlineStr">
        <is>
          <t>-</t>
        </is>
      </c>
      <c r="G130" s="2" t="n"/>
      <c r="H130" s="5" t="n">
        <v>45977</v>
      </c>
      <c r="I130" s="2" t="n"/>
      <c r="J130" s="6" t="inlineStr">
        <is>
          <t>BAST-2025-IN-0108</t>
        </is>
      </c>
      <c r="K130" s="4" t="n">
        <v>150000</v>
      </c>
      <c r="L130" s="4" t="n">
        <v>90000000</v>
      </c>
    </row>
    <row r="131" ht="20" customHeight="1">
      <c r="A131" s="7" t="inlineStr">
        <is>
          <t>APBN</t>
        </is>
      </c>
      <c r="B131" s="8" t="inlineStr">
        <is>
          <t>Perahu Karet</t>
        </is>
      </c>
      <c r="C131" s="7" t="inlineStr">
        <is>
          <t>Logistik Lainnya</t>
        </is>
      </c>
      <c r="D131" s="9" t="n">
        <v>2</v>
      </c>
      <c r="E131" s="9" t="n">
        <v>0</v>
      </c>
      <c r="F131" s="7" t="inlineStr">
        <is>
          <t>-</t>
        </is>
      </c>
      <c r="G131" s="7" t="n"/>
      <c r="H131" s="10" t="n">
        <v>45980</v>
      </c>
      <c r="I131" s="7" t="n"/>
      <c r="J131" s="11" t="inlineStr">
        <is>
          <t>BAST-2025-IN-0109</t>
        </is>
      </c>
      <c r="K131" s="9" t="n">
        <v>35000000</v>
      </c>
      <c r="L131" s="9" t="n">
        <v>70000000</v>
      </c>
    </row>
    <row r="132" ht="20" customHeight="1">
      <c r="A132" s="2" t="inlineStr">
        <is>
          <t>CSR</t>
        </is>
      </c>
      <c r="B132" s="3" t="inlineStr">
        <is>
          <t>Matras</t>
        </is>
      </c>
      <c r="C132" s="2" t="inlineStr">
        <is>
          <t>Sandang</t>
        </is>
      </c>
      <c r="D132" s="4" t="n">
        <v>850</v>
      </c>
      <c r="E132" s="4" t="n">
        <v>0</v>
      </c>
      <c r="F132" s="2" t="inlineStr">
        <is>
          <t>-</t>
        </is>
      </c>
      <c r="G132" s="2" t="n"/>
      <c r="H132" s="5" t="n">
        <v>45981</v>
      </c>
      <c r="I132" s="2" t="n"/>
      <c r="J132" s="6" t="inlineStr">
        <is>
          <t>BAST-2025-IN-0110</t>
        </is>
      </c>
      <c r="K132" s="4" t="n">
        <v>120000</v>
      </c>
      <c r="L132" s="4" t="n">
        <v>102000000</v>
      </c>
    </row>
    <row r="133" ht="20" customHeight="1">
      <c r="A133" s="7" t="inlineStr">
        <is>
          <t>APBN</t>
        </is>
      </c>
      <c r="B133" s="8" t="inlineStr">
        <is>
          <t>Sarung</t>
        </is>
      </c>
      <c r="C133" s="7" t="inlineStr">
        <is>
          <t>Sandang</t>
        </is>
      </c>
      <c r="D133" s="9" t="n">
        <v>850</v>
      </c>
      <c r="E133" s="9" t="n">
        <v>0</v>
      </c>
      <c r="F133" s="7" t="inlineStr">
        <is>
          <t>-</t>
        </is>
      </c>
      <c r="G133" s="7" t="n"/>
      <c r="H133" s="10" t="n">
        <v>45989</v>
      </c>
      <c r="I133" s="7" t="n"/>
      <c r="J133" s="11" t="inlineStr">
        <is>
          <t>BAST-2025-IN-0111</t>
        </is>
      </c>
      <c r="K133" s="9" t="n">
        <v>60000</v>
      </c>
      <c r="L133" s="9" t="n">
        <v>51000000</v>
      </c>
    </row>
    <row r="134" ht="20" customHeight="1">
      <c r="A134" s="2" t="inlineStr">
        <is>
          <t>CSR</t>
        </is>
      </c>
      <c r="B134" s="3" t="inlineStr">
        <is>
          <t>Pakaian Anak</t>
        </is>
      </c>
      <c r="C134" s="2" t="inlineStr">
        <is>
          <t>Sandang</t>
        </is>
      </c>
      <c r="D134" s="4" t="n">
        <v>0</v>
      </c>
      <c r="E134" s="4" t="n">
        <v>700</v>
      </c>
      <c r="F134" s="2" t="inlineStr">
        <is>
          <t>Kabupaten Bogor</t>
        </is>
      </c>
      <c r="G134" s="2" t="n"/>
      <c r="H134" s="2" t="n"/>
      <c r="I134" s="5" t="n">
        <v>45989</v>
      </c>
      <c r="J134" s="6" t="inlineStr">
        <is>
          <t>SJ-2025-OUT-0022</t>
        </is>
      </c>
      <c r="K134" s="4" t="n">
        <v>75000</v>
      </c>
      <c r="L134" s="4" t="n">
        <v>52500000</v>
      </c>
    </row>
    <row r="135" ht="20" customHeight="1">
      <c r="A135" s="7" t="inlineStr">
        <is>
          <t>APBN</t>
        </is>
      </c>
      <c r="B135" s="8" t="inlineStr">
        <is>
          <t>Selimut</t>
        </is>
      </c>
      <c r="C135" s="7" t="inlineStr">
        <is>
          <t>Sandang</t>
        </is>
      </c>
      <c r="D135" s="9" t="n">
        <v>700</v>
      </c>
      <c r="E135" s="9" t="n">
        <v>0</v>
      </c>
      <c r="F135" s="7" t="inlineStr">
        <is>
          <t>-</t>
        </is>
      </c>
      <c r="G135" s="7" t="n"/>
      <c r="H135" s="10" t="n">
        <v>45990</v>
      </c>
      <c r="I135" s="7" t="n"/>
      <c r="J135" s="11" t="inlineStr">
        <is>
          <t>BAST-2025-IN-0112</t>
        </is>
      </c>
      <c r="K135" s="9" t="n">
        <v>85000</v>
      </c>
      <c r="L135" s="9" t="n">
        <v>59500000</v>
      </c>
    </row>
    <row r="136" ht="20" customHeight="1">
      <c r="A136" s="2" t="inlineStr">
        <is>
          <t>APBN</t>
        </is>
      </c>
      <c r="B136" s="3" t="inlineStr">
        <is>
          <t>Selimut</t>
        </is>
      </c>
      <c r="C136" s="2" t="inlineStr">
        <is>
          <t>Sandang</t>
        </is>
      </c>
      <c r="D136" s="4" t="n">
        <v>1450</v>
      </c>
      <c r="E136" s="4" t="n">
        <v>0</v>
      </c>
      <c r="F136" s="2" t="inlineStr">
        <is>
          <t>-</t>
        </is>
      </c>
      <c r="G136" s="2" t="n"/>
      <c r="H136" s="5" t="n">
        <v>46002</v>
      </c>
      <c r="I136" s="2" t="n"/>
      <c r="J136" s="6" t="inlineStr">
        <is>
          <t>BAST-2025-IN-0113</t>
        </is>
      </c>
      <c r="K136" s="4" t="n">
        <v>85000</v>
      </c>
      <c r="L136" s="4" t="n">
        <v>123250000</v>
      </c>
    </row>
    <row r="137" ht="20" customHeight="1">
      <c r="A137" s="7" t="inlineStr">
        <is>
          <t>APBN</t>
        </is>
      </c>
      <c r="B137" s="8" t="inlineStr">
        <is>
          <t>Susu Formula</t>
        </is>
      </c>
      <c r="C137" s="7" t="inlineStr">
        <is>
          <t>Pangan</t>
        </is>
      </c>
      <c r="D137" s="9" t="n">
        <v>350</v>
      </c>
      <c r="E137" s="9" t="n">
        <v>0</v>
      </c>
      <c r="F137" s="7" t="inlineStr">
        <is>
          <t>-</t>
        </is>
      </c>
      <c r="G137" s="10" t="n">
        <v>46306</v>
      </c>
      <c r="H137" s="10" t="n">
        <v>46004</v>
      </c>
      <c r="I137" s="7" t="n"/>
      <c r="J137" s="11" t="inlineStr">
        <is>
          <t>BAST-2025-IN-0114</t>
        </is>
      </c>
      <c r="K137" s="9" t="n">
        <v>65000</v>
      </c>
      <c r="L137" s="9" t="n">
        <v>22750000</v>
      </c>
    </row>
    <row r="138" ht="20" customHeight="1">
      <c r="A138" s="2" t="inlineStr">
        <is>
          <t>APBD</t>
        </is>
      </c>
      <c r="B138" s="3" t="inlineStr">
        <is>
          <t>Biskuit</t>
        </is>
      </c>
      <c r="C138" s="2" t="inlineStr">
        <is>
          <t>Pangan</t>
        </is>
      </c>
      <c r="D138" s="4" t="n">
        <v>1800</v>
      </c>
      <c r="E138" s="4" t="n">
        <v>0</v>
      </c>
      <c r="F138" s="2" t="inlineStr">
        <is>
          <t>-</t>
        </is>
      </c>
      <c r="G138" s="5" t="n">
        <v>46428</v>
      </c>
      <c r="H138" s="5" t="n">
        <v>46006</v>
      </c>
      <c r="I138" s="2" t="n"/>
      <c r="J138" s="6" t="inlineStr">
        <is>
          <t>BAST-2025-IN-0115</t>
        </is>
      </c>
      <c r="K138" s="4" t="n">
        <v>25000</v>
      </c>
      <c r="L138" s="4" t="n">
        <v>45000000</v>
      </c>
    </row>
    <row r="139" ht="20" customHeight="1">
      <c r="A139" s="7" t="inlineStr">
        <is>
          <t>APBN</t>
        </is>
      </c>
      <c r="B139" s="8" t="inlineStr">
        <is>
          <t>Lauk Pauk</t>
        </is>
      </c>
      <c r="C139" s="7" t="inlineStr">
        <is>
          <t>Pangan</t>
        </is>
      </c>
      <c r="D139" s="9" t="n">
        <v>1250</v>
      </c>
      <c r="E139" s="9" t="n">
        <v>0</v>
      </c>
      <c r="F139" s="7" t="inlineStr">
        <is>
          <t>-</t>
        </is>
      </c>
      <c r="G139" s="10" t="n">
        <v>46593</v>
      </c>
      <c r="H139" s="10" t="n">
        <v>46006</v>
      </c>
      <c r="I139" s="7" t="n"/>
      <c r="J139" s="11" t="inlineStr">
        <is>
          <t>BAST-2025-IN-0116</t>
        </is>
      </c>
      <c r="K139" s="9" t="n">
        <v>35000</v>
      </c>
      <c r="L139" s="9" t="n">
        <v>43750000</v>
      </c>
    </row>
    <row r="140" ht="20" customHeight="1">
      <c r="A140" s="2" t="inlineStr">
        <is>
          <t>APBD</t>
        </is>
      </c>
      <c r="B140" s="3" t="inlineStr">
        <is>
          <t>Makanan Siap Saji</t>
        </is>
      </c>
      <c r="C140" s="2" t="inlineStr">
        <is>
          <t>Pangan</t>
        </is>
      </c>
      <c r="D140" s="4" t="n">
        <v>1100</v>
      </c>
      <c r="E140" s="4" t="n">
        <v>0</v>
      </c>
      <c r="F140" s="2" t="inlineStr">
        <is>
          <t>-</t>
        </is>
      </c>
      <c r="G140" s="5" t="n">
        <v>46468</v>
      </c>
      <c r="H140" s="5" t="n">
        <v>46010</v>
      </c>
      <c r="I140" s="2" t="n"/>
      <c r="J140" s="6" t="inlineStr">
        <is>
          <t>BAST-2025-IN-0117</t>
        </is>
      </c>
      <c r="K140" s="4" t="n">
        <v>45000</v>
      </c>
      <c r="L140" s="4" t="n">
        <v>49500000</v>
      </c>
    </row>
    <row r="141" ht="20" customHeight="1">
      <c r="A141" s="7" t="inlineStr">
        <is>
          <t>CSR</t>
        </is>
      </c>
      <c r="B141" s="8" t="inlineStr">
        <is>
          <t>Matras</t>
        </is>
      </c>
      <c r="C141" s="7" t="inlineStr">
        <is>
          <t>Sandang</t>
        </is>
      </c>
      <c r="D141" s="9" t="n">
        <v>0</v>
      </c>
      <c r="E141" s="9" t="n">
        <v>375</v>
      </c>
      <c r="F141" s="7" t="inlineStr">
        <is>
          <t>Kota Sukabumi</t>
        </is>
      </c>
      <c r="G141" s="7" t="n"/>
      <c r="H141" s="7" t="n"/>
      <c r="I141" s="10" t="n">
        <v>46012</v>
      </c>
      <c r="J141" s="11" t="inlineStr">
        <is>
          <t>SJ-2025-OUT-0023</t>
        </is>
      </c>
      <c r="K141" s="9" t="n">
        <v>120000</v>
      </c>
      <c r="L141" s="9" t="n">
        <v>45000000</v>
      </c>
    </row>
    <row r="142" ht="20" customHeight="1">
      <c r="A142" s="2" t="inlineStr">
        <is>
          <t>APBN</t>
        </is>
      </c>
      <c r="B142" s="3" t="inlineStr">
        <is>
          <t>Lauk Pauk</t>
        </is>
      </c>
      <c r="C142" s="2" t="inlineStr">
        <is>
          <t>Pangan</t>
        </is>
      </c>
      <c r="D142" s="4" t="n">
        <v>1350</v>
      </c>
      <c r="E142" s="4" t="n">
        <v>0</v>
      </c>
      <c r="F142" s="2" t="inlineStr">
        <is>
          <t>-</t>
        </is>
      </c>
      <c r="G142" s="2" t="n"/>
      <c r="H142" s="5" t="n">
        <v>46021</v>
      </c>
      <c r="I142" s="2" t="n"/>
      <c r="J142" s="6" t="inlineStr">
        <is>
          <t>BAST-2025-IN-0118</t>
        </is>
      </c>
      <c r="K142" s="4" t="n">
        <v>35000</v>
      </c>
      <c r="L142" s="4" t="n">
        <v>47250000</v>
      </c>
    </row>
    <row r="143" ht="20" customHeight="1">
      <c r="A143" s="7" t="inlineStr">
        <is>
          <t>CSR</t>
        </is>
      </c>
      <c r="B143" s="8" t="inlineStr">
        <is>
          <t>Matras</t>
        </is>
      </c>
      <c r="C143" s="7" t="inlineStr">
        <is>
          <t>Sandang</t>
        </is>
      </c>
      <c r="D143" s="9" t="n">
        <v>850</v>
      </c>
      <c r="E143" s="9" t="n">
        <v>0</v>
      </c>
      <c r="F143" s="7" t="inlineStr">
        <is>
          <t>-</t>
        </is>
      </c>
      <c r="G143" s="7" t="n"/>
      <c r="H143" s="10" t="n">
        <v>46025</v>
      </c>
      <c r="I143" s="7" t="n"/>
      <c r="J143" s="11" t="inlineStr">
        <is>
          <t>BAST-2026-IN-0001</t>
        </is>
      </c>
      <c r="K143" s="9" t="n">
        <v>120000</v>
      </c>
      <c r="L143" s="9" t="n">
        <v>102000000</v>
      </c>
    </row>
    <row r="144" ht="20" customHeight="1">
      <c r="A144" s="2" t="inlineStr">
        <is>
          <t>CSR</t>
        </is>
      </c>
      <c r="B144" s="3" t="inlineStr">
        <is>
          <t>Terpal</t>
        </is>
      </c>
      <c r="C144" s="2" t="inlineStr">
        <is>
          <t>Papan</t>
        </is>
      </c>
      <c r="D144" s="4" t="n">
        <v>850</v>
      </c>
      <c r="E144" s="4" t="n">
        <v>0</v>
      </c>
      <c r="F144" s="2" t="inlineStr">
        <is>
          <t>-</t>
        </is>
      </c>
      <c r="G144" s="2" t="n"/>
      <c r="H144" s="5" t="n">
        <v>46028</v>
      </c>
      <c r="I144" s="2" t="n"/>
      <c r="J144" s="6" t="inlineStr">
        <is>
          <t>BAST-2026-IN-0002</t>
        </is>
      </c>
      <c r="K144" s="4" t="n">
        <v>150000</v>
      </c>
      <c r="L144" s="4" t="n">
        <v>127500000</v>
      </c>
    </row>
    <row r="145" ht="20" customHeight="1">
      <c r="A145" s="7" t="inlineStr">
        <is>
          <t>APBN</t>
        </is>
      </c>
      <c r="B145" s="8" t="inlineStr">
        <is>
          <t>Genset</t>
        </is>
      </c>
      <c r="C145" s="7" t="inlineStr">
        <is>
          <t>Logistik Lainnya</t>
        </is>
      </c>
      <c r="D145" s="9" t="n">
        <v>26</v>
      </c>
      <c r="E145" s="9" t="n">
        <v>0</v>
      </c>
      <c r="F145" s="7" t="inlineStr">
        <is>
          <t>-</t>
        </is>
      </c>
      <c r="G145" s="7" t="n"/>
      <c r="H145" s="10" t="n">
        <v>46028</v>
      </c>
      <c r="I145" s="7" t="n"/>
      <c r="J145" s="11" t="inlineStr">
        <is>
          <t>BAST-2026-IN-0003</t>
        </is>
      </c>
      <c r="K145" s="9" t="n">
        <v>12500000</v>
      </c>
      <c r="L145" s="9" t="n">
        <v>325000000</v>
      </c>
    </row>
    <row r="146" ht="20" customHeight="1">
      <c r="A146" s="2" t="inlineStr">
        <is>
          <t>APBN</t>
        </is>
      </c>
      <c r="B146" s="3" t="inlineStr">
        <is>
          <t>Terpal</t>
        </is>
      </c>
      <c r="C146" s="2" t="inlineStr">
        <is>
          <t>Papan</t>
        </is>
      </c>
      <c r="D146" s="4" t="n">
        <v>1100</v>
      </c>
      <c r="E146" s="4" t="n">
        <v>0</v>
      </c>
      <c r="F146" s="2" t="inlineStr">
        <is>
          <t>-</t>
        </is>
      </c>
      <c r="G146" s="2" t="n"/>
      <c r="H146" s="5" t="n">
        <v>46029</v>
      </c>
      <c r="I146" s="2" t="n"/>
      <c r="J146" s="6" t="inlineStr">
        <is>
          <t>BAST-2026-IN-0004</t>
        </is>
      </c>
      <c r="K146" s="4" t="n">
        <v>150000</v>
      </c>
      <c r="L146" s="4" t="n">
        <v>165000000</v>
      </c>
    </row>
    <row r="147" ht="20" customHeight="1">
      <c r="A147" s="7" t="inlineStr">
        <is>
          <t>APBN</t>
        </is>
      </c>
      <c r="B147" s="8" t="inlineStr">
        <is>
          <t>Terpal</t>
        </is>
      </c>
      <c r="C147" s="7" t="inlineStr">
        <is>
          <t>Papan</t>
        </is>
      </c>
      <c r="D147" s="9" t="n">
        <v>800</v>
      </c>
      <c r="E147" s="9" t="n">
        <v>0</v>
      </c>
      <c r="F147" s="7" t="inlineStr">
        <is>
          <t>-</t>
        </is>
      </c>
      <c r="G147" s="7" t="n"/>
      <c r="H147" s="10" t="n">
        <v>46031</v>
      </c>
      <c r="I147" s="7" t="n"/>
      <c r="J147" s="11" t="inlineStr">
        <is>
          <t>BAST-2026-IN-0005</t>
        </is>
      </c>
      <c r="K147" s="9" t="n">
        <v>150000</v>
      </c>
      <c r="L147" s="9" t="n">
        <v>120000000</v>
      </c>
    </row>
    <row r="148" ht="20" customHeight="1">
      <c r="A148" s="2" t="inlineStr">
        <is>
          <t>APBD</t>
        </is>
      </c>
      <c r="B148" s="3" t="inlineStr">
        <is>
          <t>Pakaian Anak</t>
        </is>
      </c>
      <c r="C148" s="2" t="inlineStr">
        <is>
          <t>Sandang</t>
        </is>
      </c>
      <c r="D148" s="4" t="n">
        <v>1000</v>
      </c>
      <c r="E148" s="4" t="n">
        <v>0</v>
      </c>
      <c r="F148" s="2" t="inlineStr">
        <is>
          <t>-</t>
        </is>
      </c>
      <c r="G148" s="2" t="n"/>
      <c r="H148" s="5" t="n">
        <v>46037</v>
      </c>
      <c r="I148" s="2" t="n"/>
      <c r="J148" s="6" t="inlineStr">
        <is>
          <t>BAST-2026-IN-0006</t>
        </is>
      </c>
      <c r="K148" s="4" t="n">
        <v>75000</v>
      </c>
      <c r="L148" s="4" t="n">
        <v>75000000</v>
      </c>
    </row>
    <row r="149" ht="20" customHeight="1">
      <c r="A149" s="7" t="inlineStr">
        <is>
          <t>APBN</t>
        </is>
      </c>
      <c r="B149" s="8" t="inlineStr">
        <is>
          <t>Genset</t>
        </is>
      </c>
      <c r="C149" s="7" t="inlineStr">
        <is>
          <t>Logistik Lainnya</t>
        </is>
      </c>
      <c r="D149" s="9" t="n">
        <v>22</v>
      </c>
      <c r="E149" s="9" t="n">
        <v>0</v>
      </c>
      <c r="F149" s="7" t="inlineStr">
        <is>
          <t>-</t>
        </is>
      </c>
      <c r="G149" s="7" t="n"/>
      <c r="H149" s="10" t="n">
        <v>46040</v>
      </c>
      <c r="I149" s="7" t="n"/>
      <c r="J149" s="11" t="inlineStr">
        <is>
          <t>BAST-2026-IN-0007</t>
        </is>
      </c>
      <c r="K149" s="9" t="n">
        <v>12500000</v>
      </c>
      <c r="L149" s="9" t="n">
        <v>275000000</v>
      </c>
    </row>
    <row r="150" ht="20" customHeight="1">
      <c r="A150" s="2" t="inlineStr">
        <is>
          <t>CSR</t>
        </is>
      </c>
      <c r="B150" s="3" t="inlineStr">
        <is>
          <t>Chainsaw</t>
        </is>
      </c>
      <c r="C150" s="2" t="inlineStr">
        <is>
          <t>Logistik Lainnya</t>
        </is>
      </c>
      <c r="D150" s="4" t="n">
        <v>35</v>
      </c>
      <c r="E150" s="4" t="n">
        <v>0</v>
      </c>
      <c r="F150" s="2" t="inlineStr">
        <is>
          <t>-</t>
        </is>
      </c>
      <c r="G150" s="2" t="n"/>
      <c r="H150" s="5" t="n">
        <v>46040</v>
      </c>
      <c r="I150" s="2" t="n"/>
      <c r="J150" s="6" t="inlineStr">
        <is>
          <t>BAST-2026-IN-0008</t>
        </is>
      </c>
      <c r="K150" s="4" t="n">
        <v>4500000</v>
      </c>
      <c r="L150" s="4" t="n">
        <v>157500000</v>
      </c>
    </row>
    <row r="151" ht="20" customHeight="1">
      <c r="A151" s="7" t="inlineStr">
        <is>
          <t>APBD</t>
        </is>
      </c>
      <c r="B151" s="8" t="inlineStr">
        <is>
          <t>Matras</t>
        </is>
      </c>
      <c r="C151" s="7" t="inlineStr">
        <is>
          <t>Sandang</t>
        </is>
      </c>
      <c r="D151" s="9" t="n">
        <v>0</v>
      </c>
      <c r="E151" s="9" t="n">
        <v>650</v>
      </c>
      <c r="F151" s="7" t="inlineStr">
        <is>
          <t>Kabupaten Majalengka</t>
        </is>
      </c>
      <c r="G151" s="7" t="n"/>
      <c r="H151" s="7" t="n"/>
      <c r="I151" s="10" t="n">
        <v>46042</v>
      </c>
      <c r="J151" s="11" t="inlineStr">
        <is>
          <t>SJ-2026-OUT-0001</t>
        </is>
      </c>
      <c r="K151" s="9" t="n">
        <v>120000</v>
      </c>
      <c r="L151" s="9" t="n">
        <v>78000000</v>
      </c>
    </row>
    <row r="152" ht="20" customHeight="1">
      <c r="A152" s="2" t="inlineStr">
        <is>
          <t>CSR</t>
        </is>
      </c>
      <c r="B152" s="3" t="inlineStr">
        <is>
          <t>Pakaian Anak</t>
        </is>
      </c>
      <c r="C152" s="2" t="inlineStr">
        <is>
          <t>Sandang</t>
        </is>
      </c>
      <c r="D152" s="4" t="n">
        <v>0</v>
      </c>
      <c r="E152" s="4" t="n">
        <v>150</v>
      </c>
      <c r="F152" s="2" t="inlineStr">
        <is>
          <t>Kabupaten Karawang</t>
        </is>
      </c>
      <c r="G152" s="2" t="n"/>
      <c r="H152" s="2" t="n"/>
      <c r="I152" s="5" t="n">
        <v>46043</v>
      </c>
      <c r="J152" s="6" t="inlineStr">
        <is>
          <t>SJ-2026-OUT-0002</t>
        </is>
      </c>
      <c r="K152" s="4" t="n">
        <v>75000</v>
      </c>
      <c r="L152" s="4" t="n">
        <v>11250000</v>
      </c>
    </row>
    <row r="153" ht="20" customHeight="1">
      <c r="A153" s="7" t="inlineStr">
        <is>
          <t>APBD</t>
        </is>
      </c>
      <c r="B153" s="8" t="inlineStr">
        <is>
          <t>Terpal</t>
        </is>
      </c>
      <c r="C153" s="7" t="inlineStr">
        <is>
          <t>Papan</t>
        </is>
      </c>
      <c r="D153" s="9" t="n">
        <v>600</v>
      </c>
      <c r="E153" s="9" t="n">
        <v>0</v>
      </c>
      <c r="F153" s="7" t="inlineStr">
        <is>
          <t>-</t>
        </is>
      </c>
      <c r="G153" s="7" t="n"/>
      <c r="H153" s="10" t="n">
        <v>46045</v>
      </c>
      <c r="I153" s="7" t="n"/>
      <c r="J153" s="11" t="inlineStr">
        <is>
          <t>BAST-2026-IN-0009</t>
        </is>
      </c>
      <c r="K153" s="9" t="n">
        <v>150000</v>
      </c>
      <c r="L153" s="9" t="n">
        <v>90000000</v>
      </c>
    </row>
    <row r="154" ht="20" customHeight="1">
      <c r="A154" s="2" t="inlineStr">
        <is>
          <t>APBD</t>
        </is>
      </c>
      <c r="B154" s="3" t="inlineStr">
        <is>
          <t>Susu Formula</t>
        </is>
      </c>
      <c r="C154" s="2" t="inlineStr">
        <is>
          <t>Pangan</t>
        </is>
      </c>
      <c r="D154" s="4" t="n">
        <v>250</v>
      </c>
      <c r="E154" s="4" t="n">
        <v>0</v>
      </c>
      <c r="F154" s="2" t="inlineStr">
        <is>
          <t>-</t>
        </is>
      </c>
      <c r="G154" s="5" t="n">
        <v>46556</v>
      </c>
      <c r="H154" s="5" t="n">
        <v>46046</v>
      </c>
      <c r="I154" s="2" t="n"/>
      <c r="J154" s="6" t="inlineStr">
        <is>
          <t>BAST-2026-IN-0010</t>
        </is>
      </c>
      <c r="K154" s="4" t="n">
        <v>65000</v>
      </c>
      <c r="L154" s="4" t="n">
        <v>16250000</v>
      </c>
    </row>
    <row r="155" ht="20" customHeight="1">
      <c r="A155" s="7" t="inlineStr">
        <is>
          <t>CSR</t>
        </is>
      </c>
      <c r="B155" s="8" t="inlineStr">
        <is>
          <t>Sanitasi Kit</t>
        </is>
      </c>
      <c r="C155" s="7" t="inlineStr">
        <is>
          <t>Logistik Lainnya</t>
        </is>
      </c>
      <c r="D155" s="9" t="n">
        <v>850</v>
      </c>
      <c r="E155" s="9" t="n">
        <v>0</v>
      </c>
      <c r="F155" s="7" t="inlineStr">
        <is>
          <t>-</t>
        </is>
      </c>
      <c r="G155" s="10" t="n">
        <v>46669</v>
      </c>
      <c r="H155" s="10" t="n">
        <v>46047</v>
      </c>
      <c r="I155" s="7" t="n"/>
      <c r="J155" s="11" t="inlineStr">
        <is>
          <t>BAST-2026-IN-0011</t>
        </is>
      </c>
      <c r="K155" s="9" t="n">
        <v>250000</v>
      </c>
      <c r="L155" s="9" t="n">
        <v>212500000</v>
      </c>
    </row>
    <row r="156" ht="20" customHeight="1">
      <c r="A156" s="2" t="inlineStr">
        <is>
          <t>APBN</t>
        </is>
      </c>
      <c r="B156" s="3" t="inlineStr">
        <is>
          <t>Perahu Karet</t>
        </is>
      </c>
      <c r="C156" s="2" t="inlineStr">
        <is>
          <t>Logistik Lainnya</t>
        </is>
      </c>
      <c r="D156" s="4" t="n">
        <v>8</v>
      </c>
      <c r="E156" s="4" t="n">
        <v>0</v>
      </c>
      <c r="F156" s="2" t="inlineStr">
        <is>
          <t>-</t>
        </is>
      </c>
      <c r="G156" s="2" t="n"/>
      <c r="H156" s="5" t="n">
        <v>46047</v>
      </c>
      <c r="I156" s="2" t="n"/>
      <c r="J156" s="6" t="inlineStr">
        <is>
          <t>BAST-2026-IN-0012</t>
        </is>
      </c>
      <c r="K156" s="4" t="n">
        <v>35000000</v>
      </c>
      <c r="L156" s="4" t="n">
        <v>280000000</v>
      </c>
    </row>
    <row r="157" ht="20" customHeight="1">
      <c r="A157" s="7" t="inlineStr">
        <is>
          <t>APBD</t>
        </is>
      </c>
      <c r="B157" s="8" t="inlineStr">
        <is>
          <t>Terpal</t>
        </is>
      </c>
      <c r="C157" s="7" t="inlineStr">
        <is>
          <t>Papan</t>
        </is>
      </c>
      <c r="D157" s="9" t="n">
        <v>0</v>
      </c>
      <c r="E157" s="9" t="n">
        <v>225</v>
      </c>
      <c r="F157" s="7" t="inlineStr">
        <is>
          <t>Kabupaten Cirebon</t>
        </is>
      </c>
      <c r="G157" s="7" t="n"/>
      <c r="H157" s="7" t="n"/>
      <c r="I157" s="10" t="n">
        <v>46047</v>
      </c>
      <c r="J157" s="11" t="inlineStr">
        <is>
          <t>SJ-2026-OUT-0003</t>
        </is>
      </c>
      <c r="K157" s="9" t="n">
        <v>150000</v>
      </c>
      <c r="L157" s="9" t="n">
        <v>33750000</v>
      </c>
    </row>
    <row r="158" ht="20" customHeight="1">
      <c r="A158" s="2" t="inlineStr">
        <is>
          <t>APBD</t>
        </is>
      </c>
      <c r="B158" s="3" t="inlineStr">
        <is>
          <t>Biskuit</t>
        </is>
      </c>
      <c r="C158" s="2" t="inlineStr">
        <is>
          <t>Pangan</t>
        </is>
      </c>
      <c r="D158" s="4" t="n">
        <v>1650</v>
      </c>
      <c r="E158" s="4" t="n">
        <v>0</v>
      </c>
      <c r="F158" s="2" t="inlineStr">
        <is>
          <t>-</t>
        </is>
      </c>
      <c r="G158" s="5" t="n">
        <v>46553</v>
      </c>
      <c r="H158" s="5" t="n">
        <v>46048</v>
      </c>
      <c r="I158" s="2" t="n"/>
      <c r="J158" s="6" t="inlineStr">
        <is>
          <t>BAST-2026-IN-0013</t>
        </is>
      </c>
      <c r="K158" s="4" t="n">
        <v>25000</v>
      </c>
      <c r="L158" s="4" t="n">
        <v>41250000</v>
      </c>
    </row>
    <row r="159" ht="20" customHeight="1">
      <c r="A159" s="7" t="inlineStr">
        <is>
          <t>CSR</t>
        </is>
      </c>
      <c r="B159" s="8" t="inlineStr">
        <is>
          <t>Selimut</t>
        </is>
      </c>
      <c r="C159" s="7" t="inlineStr">
        <is>
          <t>Sandang</t>
        </is>
      </c>
      <c r="D159" s="9" t="n">
        <v>1250</v>
      </c>
      <c r="E159" s="9" t="n">
        <v>0</v>
      </c>
      <c r="F159" s="7" t="inlineStr">
        <is>
          <t>-</t>
        </is>
      </c>
      <c r="G159" s="7" t="n"/>
      <c r="H159" s="10" t="n">
        <v>46052</v>
      </c>
      <c r="I159" s="7" t="n"/>
      <c r="J159" s="11" t="inlineStr">
        <is>
          <t>BAST-2026-IN-0014</t>
        </is>
      </c>
      <c r="K159" s="9" t="n">
        <v>85000</v>
      </c>
      <c r="L159" s="9" t="n">
        <v>106250000</v>
      </c>
    </row>
    <row r="160" ht="20" customHeight="1">
      <c r="A160" s="2" t="inlineStr">
        <is>
          <t>APBN</t>
        </is>
      </c>
      <c r="B160" s="3" t="inlineStr">
        <is>
          <t>Chainsaw</t>
        </is>
      </c>
      <c r="C160" s="2" t="inlineStr">
        <is>
          <t>Logistik Lainnya</t>
        </is>
      </c>
      <c r="D160" s="4" t="n">
        <v>0</v>
      </c>
      <c r="E160" s="4" t="n">
        <v>30</v>
      </c>
      <c r="F160" s="2" t="inlineStr">
        <is>
          <t>Kabupaten Majalengka</t>
        </is>
      </c>
      <c r="G160" s="2" t="n"/>
      <c r="H160" s="2" t="n"/>
      <c r="I160" s="5" t="n">
        <v>46054</v>
      </c>
      <c r="J160" s="6" t="inlineStr">
        <is>
          <t>SJ-2026-OUT-0004</t>
        </is>
      </c>
      <c r="K160" s="4" t="n">
        <v>4500000</v>
      </c>
      <c r="L160" s="4" t="n">
        <v>135000000</v>
      </c>
    </row>
    <row r="161" ht="20" customHeight="1">
      <c r="A161" s="7" t="inlineStr">
        <is>
          <t>CSR</t>
        </is>
      </c>
      <c r="B161" s="8" t="inlineStr">
        <is>
          <t>Genset</t>
        </is>
      </c>
      <c r="C161" s="7" t="inlineStr">
        <is>
          <t>Logistik Lainnya</t>
        </is>
      </c>
      <c r="D161" s="9" t="n">
        <v>0</v>
      </c>
      <c r="E161" s="9" t="n">
        <v>10</v>
      </c>
      <c r="F161" s="7" t="inlineStr">
        <is>
          <t>Kota Tasikmalaya</t>
        </is>
      </c>
      <c r="G161" s="7" t="n"/>
      <c r="H161" s="7" t="n"/>
      <c r="I161" s="10" t="n">
        <v>46057</v>
      </c>
      <c r="J161" s="11" t="inlineStr">
        <is>
          <t>SJ-2026-OUT-0005</t>
        </is>
      </c>
      <c r="K161" s="9" t="n">
        <v>12500000</v>
      </c>
      <c r="L161" s="9" t="n">
        <v>125000000</v>
      </c>
    </row>
    <row r="162" ht="20" customHeight="1">
      <c r="A162" s="2" t="inlineStr">
        <is>
          <t>APBN</t>
        </is>
      </c>
      <c r="B162" s="3" t="inlineStr">
        <is>
          <t>Sarung</t>
        </is>
      </c>
      <c r="C162" s="2" t="inlineStr">
        <is>
          <t>Sandang</t>
        </is>
      </c>
      <c r="D162" s="4" t="n">
        <v>300</v>
      </c>
      <c r="E162" s="4" t="n">
        <v>0</v>
      </c>
      <c r="F162" s="2" t="inlineStr">
        <is>
          <t>-</t>
        </is>
      </c>
      <c r="G162" s="2" t="n"/>
      <c r="H162" s="5" t="n">
        <v>46063</v>
      </c>
      <c r="I162" s="2" t="n"/>
      <c r="J162" s="6" t="inlineStr">
        <is>
          <t>BAST-2026-IN-0015</t>
        </is>
      </c>
      <c r="K162" s="4" t="n">
        <v>60000</v>
      </c>
      <c r="L162" s="4" t="n">
        <v>18000000</v>
      </c>
    </row>
    <row r="163" ht="20" customHeight="1">
      <c r="A163" s="7" t="inlineStr">
        <is>
          <t>APBN</t>
        </is>
      </c>
      <c r="B163" s="8" t="inlineStr">
        <is>
          <t>Biskuit</t>
        </is>
      </c>
      <c r="C163" s="7" t="inlineStr">
        <is>
          <t>Pangan</t>
        </is>
      </c>
      <c r="D163" s="9" t="n">
        <v>0</v>
      </c>
      <c r="E163" s="9" t="n">
        <v>1125</v>
      </c>
      <c r="F163" s="7" t="inlineStr">
        <is>
          <t>Kota Sukabumi</t>
        </is>
      </c>
      <c r="G163" s="7" t="n"/>
      <c r="H163" s="7" t="n"/>
      <c r="I163" s="10" t="n">
        <v>46064</v>
      </c>
      <c r="J163" s="11" t="inlineStr">
        <is>
          <t>SJ-2026-OUT-0006</t>
        </is>
      </c>
      <c r="K163" s="9" t="n">
        <v>25000</v>
      </c>
      <c r="L163" s="9" t="n">
        <v>28125000</v>
      </c>
    </row>
    <row r="164" ht="20" customHeight="1">
      <c r="A164" s="2" t="inlineStr">
        <is>
          <t>APBD</t>
        </is>
      </c>
      <c r="B164" s="3" t="inlineStr">
        <is>
          <t>Perahu Karet</t>
        </is>
      </c>
      <c r="C164" s="2" t="inlineStr">
        <is>
          <t>Logistik Lainnya</t>
        </is>
      </c>
      <c r="D164" s="4" t="n">
        <v>19</v>
      </c>
      <c r="E164" s="4" t="n">
        <v>0</v>
      </c>
      <c r="F164" s="2" t="inlineStr">
        <is>
          <t>-</t>
        </is>
      </c>
      <c r="G164" s="2" t="n"/>
      <c r="H164" s="5" t="n">
        <v>46066</v>
      </c>
      <c r="I164" s="2" t="n"/>
      <c r="J164" s="6" t="inlineStr">
        <is>
          <t>BAST-2026-IN-0016</t>
        </is>
      </c>
      <c r="K164" s="4" t="n">
        <v>35000000</v>
      </c>
      <c r="L164" s="4" t="n">
        <v>665000000</v>
      </c>
    </row>
    <row r="165" ht="20" customHeight="1">
      <c r="A165" s="7" t="inlineStr">
        <is>
          <t>APBN</t>
        </is>
      </c>
      <c r="B165" s="8" t="inlineStr">
        <is>
          <t>Perahu Karet</t>
        </is>
      </c>
      <c r="C165" s="7" t="inlineStr">
        <is>
          <t>Logistik Lainnya</t>
        </is>
      </c>
      <c r="D165" s="9" t="n">
        <v>22</v>
      </c>
      <c r="E165" s="9" t="n">
        <v>0</v>
      </c>
      <c r="F165" s="7" t="inlineStr">
        <is>
          <t>-</t>
        </is>
      </c>
      <c r="G165" s="7" t="n"/>
      <c r="H165" s="10" t="n">
        <v>46066</v>
      </c>
      <c r="I165" s="7" t="n"/>
      <c r="J165" s="11" t="inlineStr">
        <is>
          <t>BAST-2026-IN-0017</t>
        </is>
      </c>
      <c r="K165" s="9" t="n">
        <v>35000000</v>
      </c>
      <c r="L165" s="9" t="n">
        <v>770000000</v>
      </c>
    </row>
    <row r="166" ht="20" customHeight="1">
      <c r="A166" s="2" t="inlineStr">
        <is>
          <t>APBD</t>
        </is>
      </c>
      <c r="B166" s="3" t="inlineStr">
        <is>
          <t>Seng</t>
        </is>
      </c>
      <c r="C166" s="2" t="inlineStr">
        <is>
          <t>Papan</t>
        </is>
      </c>
      <c r="D166" s="4" t="n">
        <v>1800</v>
      </c>
      <c r="E166" s="4" t="n">
        <v>0</v>
      </c>
      <c r="F166" s="2" t="inlineStr">
        <is>
          <t>-</t>
        </is>
      </c>
      <c r="G166" s="2" t="n"/>
      <c r="H166" s="5" t="n">
        <v>46068</v>
      </c>
      <c r="I166" s="2" t="n"/>
      <c r="J166" s="6" t="inlineStr">
        <is>
          <t>BAST-2026-IN-0018</t>
        </is>
      </c>
      <c r="K166" s="4" t="n">
        <v>90000</v>
      </c>
      <c r="L166" s="4" t="n">
        <v>162000000</v>
      </c>
    </row>
    <row r="167" ht="20" customHeight="1">
      <c r="A167" s="7" t="inlineStr">
        <is>
          <t>APBN</t>
        </is>
      </c>
      <c r="B167" s="8" t="inlineStr">
        <is>
          <t>Sarung</t>
        </is>
      </c>
      <c r="C167" s="7" t="inlineStr">
        <is>
          <t>Sandang</t>
        </is>
      </c>
      <c r="D167" s="9" t="n">
        <v>400</v>
      </c>
      <c r="E167" s="9" t="n">
        <v>0</v>
      </c>
      <c r="F167" s="7" t="inlineStr">
        <is>
          <t>-</t>
        </is>
      </c>
      <c r="G167" s="7" t="n"/>
      <c r="H167" s="10" t="n">
        <v>46087</v>
      </c>
      <c r="I167" s="7" t="n"/>
      <c r="J167" s="11" t="inlineStr">
        <is>
          <t>BAST-2026-IN-0019</t>
        </is>
      </c>
      <c r="K167" s="9" t="n">
        <v>60000</v>
      </c>
      <c r="L167" s="9" t="n">
        <v>24000000</v>
      </c>
    </row>
    <row r="168" ht="20" customHeight="1">
      <c r="A168" s="2" t="inlineStr">
        <is>
          <t>APBN</t>
        </is>
      </c>
      <c r="B168" s="3" t="inlineStr">
        <is>
          <t>Tenda Keluarga</t>
        </is>
      </c>
      <c r="C168" s="2" t="inlineStr">
        <is>
          <t>Papan</t>
        </is>
      </c>
      <c r="D168" s="4" t="n">
        <v>190</v>
      </c>
      <c r="E168" s="4" t="n">
        <v>0</v>
      </c>
      <c r="F168" s="2" t="inlineStr">
        <is>
          <t>-</t>
        </is>
      </c>
      <c r="G168" s="2" t="n"/>
      <c r="H168" s="5" t="n">
        <v>46090</v>
      </c>
      <c r="I168" s="2" t="n"/>
      <c r="J168" s="6" t="inlineStr">
        <is>
          <t>BAST-2026-IN-0020</t>
        </is>
      </c>
      <c r="K168" s="4" t="n">
        <v>3200000</v>
      </c>
      <c r="L168" s="4" t="n">
        <v>608000000</v>
      </c>
    </row>
    <row r="169" ht="20" customHeight="1">
      <c r="A169" s="7" t="inlineStr">
        <is>
          <t>APBN</t>
        </is>
      </c>
      <c r="B169" s="8" t="inlineStr">
        <is>
          <t>Lauk Pauk</t>
        </is>
      </c>
      <c r="C169" s="7" t="inlineStr">
        <is>
          <t>Pangan</t>
        </is>
      </c>
      <c r="D169" s="9" t="n">
        <v>3400</v>
      </c>
      <c r="E169" s="9" t="n">
        <v>0</v>
      </c>
      <c r="F169" s="7" t="inlineStr">
        <is>
          <t>-</t>
        </is>
      </c>
      <c r="G169" s="10" t="n">
        <v>46702</v>
      </c>
      <c r="H169" s="10" t="n">
        <v>46090</v>
      </c>
      <c r="I169" s="7" t="n"/>
      <c r="J169" s="11" t="inlineStr">
        <is>
          <t>BAST-2026-IN-0021</t>
        </is>
      </c>
      <c r="K169" s="9" t="n">
        <v>35000</v>
      </c>
      <c r="L169" s="9" t="n">
        <v>119000000</v>
      </c>
    </row>
    <row r="170" ht="20" customHeight="1">
      <c r="A170" s="2" t="inlineStr">
        <is>
          <t>CSR</t>
        </is>
      </c>
      <c r="B170" s="3" t="inlineStr">
        <is>
          <t>Air Mineral</t>
        </is>
      </c>
      <c r="C170" s="2" t="inlineStr">
        <is>
          <t>Pangan</t>
        </is>
      </c>
      <c r="D170" s="4" t="n">
        <v>3350</v>
      </c>
      <c r="E170" s="4" t="n">
        <v>0</v>
      </c>
      <c r="F170" s="2" t="inlineStr">
        <is>
          <t>-</t>
        </is>
      </c>
      <c r="G170" s="2" t="n"/>
      <c r="H170" s="5" t="n">
        <v>46090</v>
      </c>
      <c r="I170" s="2" t="n"/>
      <c r="J170" s="6" t="inlineStr">
        <is>
          <t>BAST-2026-IN-0022</t>
        </is>
      </c>
      <c r="K170" s="4" t="n">
        <v>30000</v>
      </c>
      <c r="L170" s="4" t="n">
        <v>100500000</v>
      </c>
    </row>
    <row r="171" ht="20" customHeight="1">
      <c r="A171" s="7" t="inlineStr">
        <is>
          <t>APBD</t>
        </is>
      </c>
      <c r="B171" s="8" t="inlineStr">
        <is>
          <t>Lauk Pauk</t>
        </is>
      </c>
      <c r="C171" s="7" t="inlineStr">
        <is>
          <t>Pangan</t>
        </is>
      </c>
      <c r="D171" s="9" t="n">
        <v>2450</v>
      </c>
      <c r="E171" s="9" t="n">
        <v>0</v>
      </c>
      <c r="F171" s="7" t="inlineStr">
        <is>
          <t>-</t>
        </is>
      </c>
      <c r="G171" s="10" t="n">
        <v>46647</v>
      </c>
      <c r="H171" s="10" t="n">
        <v>46091</v>
      </c>
      <c r="I171" s="7" t="n"/>
      <c r="J171" s="11" t="inlineStr">
        <is>
          <t>BAST-2026-IN-0023</t>
        </is>
      </c>
      <c r="K171" s="9" t="n">
        <v>35000</v>
      </c>
      <c r="L171" s="9" t="n">
        <v>85750000</v>
      </c>
    </row>
    <row r="172" ht="20" customHeight="1">
      <c r="A172" s="2" t="inlineStr">
        <is>
          <t>APBN</t>
        </is>
      </c>
      <c r="B172" s="3" t="inlineStr">
        <is>
          <t>Chainsaw</t>
        </is>
      </c>
      <c r="C172" s="2" t="inlineStr">
        <is>
          <t>Logistik Lainnya</t>
        </is>
      </c>
      <c r="D172" s="4" t="n">
        <v>49</v>
      </c>
      <c r="E172" s="4" t="n">
        <v>0</v>
      </c>
      <c r="F172" s="2" t="inlineStr">
        <is>
          <t>-</t>
        </is>
      </c>
      <c r="G172" s="2" t="n"/>
      <c r="H172" s="5" t="n">
        <v>46096</v>
      </c>
      <c r="I172" s="2" t="n"/>
      <c r="J172" s="6" t="inlineStr">
        <is>
          <t>BAST-2026-IN-0024</t>
        </is>
      </c>
      <c r="K172" s="4" t="n">
        <v>4500000</v>
      </c>
      <c r="L172" s="4" t="n">
        <v>220500000</v>
      </c>
    </row>
    <row r="173" ht="20" customHeight="1">
      <c r="A173" s="7" t="inlineStr">
        <is>
          <t>APBN</t>
        </is>
      </c>
      <c r="B173" s="8" t="inlineStr">
        <is>
          <t>Makanan Siap Saji</t>
        </is>
      </c>
      <c r="C173" s="7" t="inlineStr">
        <is>
          <t>Pangan</t>
        </is>
      </c>
      <c r="D173" s="9" t="n">
        <v>2250</v>
      </c>
      <c r="E173" s="9" t="n">
        <v>0</v>
      </c>
      <c r="F173" s="7" t="inlineStr">
        <is>
          <t>-</t>
        </is>
      </c>
      <c r="G173" s="7" t="n"/>
      <c r="H173" s="10" t="n">
        <v>46103</v>
      </c>
      <c r="I173" s="7" t="n"/>
      <c r="J173" s="11" t="inlineStr">
        <is>
          <t>BAST-2026-IN-0025</t>
        </is>
      </c>
      <c r="K173" s="9" t="n">
        <v>45000</v>
      </c>
      <c r="L173" s="9" t="n">
        <v>101250000</v>
      </c>
    </row>
    <row r="174" ht="20" customHeight="1">
      <c r="A174" s="2" t="inlineStr">
        <is>
          <t>APBD</t>
        </is>
      </c>
      <c r="B174" s="3" t="inlineStr">
        <is>
          <t>Air Mineral</t>
        </is>
      </c>
      <c r="C174" s="2" t="inlineStr">
        <is>
          <t>Pangan</t>
        </is>
      </c>
      <c r="D174" s="4" t="n">
        <v>0</v>
      </c>
      <c r="E174" s="4" t="n">
        <v>3525</v>
      </c>
      <c r="F174" s="2" t="inlineStr">
        <is>
          <t>Kabupaten Bogor</t>
        </is>
      </c>
      <c r="G174" s="2" t="n"/>
      <c r="H174" s="2" t="n"/>
      <c r="I174" s="5" t="n">
        <v>46104</v>
      </c>
      <c r="J174" s="6" t="inlineStr">
        <is>
          <t>SJ-2026-OUT-0007</t>
        </is>
      </c>
      <c r="K174" s="4" t="n">
        <v>30000</v>
      </c>
      <c r="L174" s="4" t="n">
        <v>105750000</v>
      </c>
    </row>
    <row r="175" ht="20" customHeight="1">
      <c r="A175" s="7" t="inlineStr">
        <is>
          <t>APBD</t>
        </is>
      </c>
      <c r="B175" s="8" t="inlineStr">
        <is>
          <t>Family Kit</t>
        </is>
      </c>
      <c r="C175" s="7" t="inlineStr">
        <is>
          <t>Logistik Lainnya</t>
        </is>
      </c>
      <c r="D175" s="9" t="n">
        <v>1150</v>
      </c>
      <c r="E175" s="9" t="n">
        <v>0</v>
      </c>
      <c r="F175" s="7" t="inlineStr">
        <is>
          <t>-</t>
        </is>
      </c>
      <c r="G175" s="7" t="n"/>
      <c r="H175" s="10" t="n">
        <v>46106</v>
      </c>
      <c r="I175" s="7" t="n"/>
      <c r="J175" s="11" t="inlineStr">
        <is>
          <t>BAST-2026-IN-0026</t>
        </is>
      </c>
      <c r="K175" s="9" t="n">
        <v>350000</v>
      </c>
      <c r="L175" s="9" t="n">
        <v>402500000</v>
      </c>
    </row>
    <row r="176" ht="20" customHeight="1">
      <c r="A176" s="2" t="inlineStr">
        <is>
          <t>APBD</t>
        </is>
      </c>
      <c r="B176" s="3" t="inlineStr">
        <is>
          <t>Sarung</t>
        </is>
      </c>
      <c r="C176" s="2" t="inlineStr">
        <is>
          <t>Sandang</t>
        </is>
      </c>
      <c r="D176" s="4" t="n">
        <v>0</v>
      </c>
      <c r="E176" s="4" t="n">
        <v>175</v>
      </c>
      <c r="F176" s="2" t="inlineStr">
        <is>
          <t>Kota Depok</t>
        </is>
      </c>
      <c r="G176" s="2" t="n"/>
      <c r="H176" s="2" t="n"/>
      <c r="I176" s="5" t="n">
        <v>46107</v>
      </c>
      <c r="J176" s="6" t="inlineStr">
        <is>
          <t>SJ-2026-OUT-0008</t>
        </is>
      </c>
      <c r="K176" s="4" t="n">
        <v>60000</v>
      </c>
      <c r="L176" s="4" t="n">
        <v>10500000</v>
      </c>
    </row>
    <row r="177" ht="20" customHeight="1">
      <c r="A177" s="7" t="inlineStr">
        <is>
          <t>APBN</t>
        </is>
      </c>
      <c r="B177" s="8" t="inlineStr">
        <is>
          <t>Tenda Keluarga</t>
        </is>
      </c>
      <c r="C177" s="7" t="inlineStr">
        <is>
          <t>Papan</t>
        </is>
      </c>
      <c r="D177" s="9" t="n">
        <v>0</v>
      </c>
      <c r="E177" s="9" t="n">
        <v>100</v>
      </c>
      <c r="F177" s="7" t="inlineStr">
        <is>
          <t>Kabupaten Bekasi</t>
        </is>
      </c>
      <c r="G177" s="7" t="n"/>
      <c r="H177" s="7" t="n"/>
      <c r="I177" s="10" t="n">
        <v>46108</v>
      </c>
      <c r="J177" s="11" t="inlineStr">
        <is>
          <t>SJ-2026-OUT-0009</t>
        </is>
      </c>
      <c r="K177" s="9" t="n">
        <v>3200000</v>
      </c>
      <c r="L177" s="9" t="n">
        <v>320000000</v>
      </c>
    </row>
    <row r="178" ht="20" customHeight="1">
      <c r="A178" s="2" t="inlineStr">
        <is>
          <t>APBD</t>
        </is>
      </c>
      <c r="B178" s="3" t="inlineStr">
        <is>
          <t>Selimut</t>
        </is>
      </c>
      <c r="C178" s="2" t="inlineStr">
        <is>
          <t>Sandang</t>
        </is>
      </c>
      <c r="D178" s="4" t="n">
        <v>0</v>
      </c>
      <c r="E178" s="4" t="n">
        <v>625</v>
      </c>
      <c r="F178" s="2" t="inlineStr">
        <is>
          <t>Kabupaten Tasikmalaya</t>
        </is>
      </c>
      <c r="G178" s="2" t="n"/>
      <c r="H178" s="2" t="n"/>
      <c r="I178" s="5" t="n">
        <v>46110</v>
      </c>
      <c r="J178" s="6" t="inlineStr">
        <is>
          <t>SJ-2026-OUT-0010</t>
        </is>
      </c>
      <c r="K178" s="4" t="n">
        <v>85000</v>
      </c>
      <c r="L178" s="4" t="n">
        <v>53125000</v>
      </c>
    </row>
    <row r="179" ht="20" customHeight="1">
      <c r="A179" s="7" t="inlineStr">
        <is>
          <t>APBN</t>
        </is>
      </c>
      <c r="B179" s="8" t="inlineStr">
        <is>
          <t>Seng</t>
        </is>
      </c>
      <c r="C179" s="7" t="inlineStr">
        <is>
          <t>Papan</t>
        </is>
      </c>
      <c r="D179" s="9" t="n">
        <v>0</v>
      </c>
      <c r="E179" s="9" t="n">
        <v>850</v>
      </c>
      <c r="F179" s="7" t="inlineStr">
        <is>
          <t>Kota Bogor</t>
        </is>
      </c>
      <c r="G179" s="7" t="n"/>
      <c r="H179" s="7" t="n"/>
      <c r="I179" s="10" t="n">
        <v>46113</v>
      </c>
      <c r="J179" s="11" t="inlineStr">
        <is>
          <t>SJ-2026-OUT-0011</t>
        </is>
      </c>
      <c r="K179" s="9" t="n">
        <v>90000</v>
      </c>
      <c r="L179" s="9" t="n">
        <v>76500000</v>
      </c>
    </row>
    <row r="180" ht="20" customHeight="1">
      <c r="A180" s="2" t="inlineStr">
        <is>
          <t>CSR</t>
        </is>
      </c>
      <c r="B180" s="3" t="inlineStr">
        <is>
          <t>Lauk Pauk</t>
        </is>
      </c>
      <c r="C180" s="2" t="inlineStr">
        <is>
          <t>Pangan</t>
        </is>
      </c>
      <c r="D180" s="4" t="n">
        <v>1200</v>
      </c>
      <c r="E180" s="4" t="n">
        <v>0</v>
      </c>
      <c r="F180" s="2" t="inlineStr">
        <is>
          <t>-</t>
        </is>
      </c>
      <c r="G180" s="2" t="n"/>
      <c r="H180" s="5" t="n">
        <v>46117</v>
      </c>
      <c r="I180" s="2" t="n"/>
      <c r="J180" s="6" t="inlineStr">
        <is>
          <t>BAST-2026-IN-0027</t>
        </is>
      </c>
      <c r="K180" s="4" t="n">
        <v>35000</v>
      </c>
      <c r="L180" s="4" t="n">
        <v>42000000</v>
      </c>
    </row>
    <row r="181" ht="20" customHeight="1">
      <c r="A181" s="7" t="inlineStr">
        <is>
          <t>APBD</t>
        </is>
      </c>
      <c r="B181" s="8" t="inlineStr">
        <is>
          <t>Susu Formula</t>
        </is>
      </c>
      <c r="C181" s="7" t="inlineStr">
        <is>
          <t>Pangan</t>
        </is>
      </c>
      <c r="D181" s="9" t="n">
        <v>800</v>
      </c>
      <c r="E181" s="9" t="n">
        <v>0</v>
      </c>
      <c r="F181" s="7" t="inlineStr">
        <is>
          <t>-</t>
        </is>
      </c>
      <c r="G181" s="10" t="n">
        <v>46270</v>
      </c>
      <c r="H181" s="10" t="n">
        <v>46120</v>
      </c>
      <c r="I181" s="7" t="n"/>
      <c r="J181" s="11" t="inlineStr">
        <is>
          <t>BAST-2026-IN-0028</t>
        </is>
      </c>
      <c r="K181" s="9" t="n">
        <v>65000</v>
      </c>
      <c r="L181" s="9" t="n">
        <v>52000000</v>
      </c>
    </row>
    <row r="182" ht="20" customHeight="1">
      <c r="A182" s="2" t="inlineStr">
        <is>
          <t>APBD</t>
        </is>
      </c>
      <c r="B182" s="3" t="inlineStr">
        <is>
          <t>Matras</t>
        </is>
      </c>
      <c r="C182" s="2" t="inlineStr">
        <is>
          <t>Sandang</t>
        </is>
      </c>
      <c r="D182" s="4" t="n">
        <v>250</v>
      </c>
      <c r="E182" s="4" t="n">
        <v>0</v>
      </c>
      <c r="F182" s="2" t="inlineStr">
        <is>
          <t>-</t>
        </is>
      </c>
      <c r="G182" s="2" t="n"/>
      <c r="H182" s="5" t="n">
        <v>46122</v>
      </c>
      <c r="I182" s="2" t="n"/>
      <c r="J182" s="6" t="inlineStr">
        <is>
          <t>BAST-2026-IN-0029</t>
        </is>
      </c>
      <c r="K182" s="4" t="n">
        <v>120000</v>
      </c>
      <c r="L182" s="4" t="n">
        <v>30000000</v>
      </c>
    </row>
    <row r="183" ht="20" customHeight="1">
      <c r="A183" s="7" t="inlineStr">
        <is>
          <t>CSR</t>
        </is>
      </c>
      <c r="B183" s="8" t="inlineStr">
        <is>
          <t>Lauk Pauk</t>
        </is>
      </c>
      <c r="C183" s="7" t="inlineStr">
        <is>
          <t>Pangan</t>
        </is>
      </c>
      <c r="D183" s="9" t="n">
        <v>1400</v>
      </c>
      <c r="E183" s="9" t="n">
        <v>0</v>
      </c>
      <c r="F183" s="7" t="inlineStr">
        <is>
          <t>-</t>
        </is>
      </c>
      <c r="G183" s="10" t="n">
        <v>46569</v>
      </c>
      <c r="H183" s="10" t="n">
        <v>46122</v>
      </c>
      <c r="I183" s="7" t="n"/>
      <c r="J183" s="11" t="inlineStr">
        <is>
          <t>BAST-2026-IN-0030</t>
        </is>
      </c>
      <c r="K183" s="9" t="n">
        <v>35000</v>
      </c>
      <c r="L183" s="9" t="n">
        <v>49000000</v>
      </c>
    </row>
    <row r="184" ht="20" customHeight="1">
      <c r="A184" s="2" t="inlineStr">
        <is>
          <t>CSR</t>
        </is>
      </c>
      <c r="B184" s="3" t="inlineStr">
        <is>
          <t>Biskuit</t>
        </is>
      </c>
      <c r="C184" s="2" t="inlineStr">
        <is>
          <t>Pangan</t>
        </is>
      </c>
      <c r="D184" s="4" t="n">
        <v>0</v>
      </c>
      <c r="E184" s="4" t="n">
        <v>1325</v>
      </c>
      <c r="F184" s="2" t="inlineStr">
        <is>
          <t>Kabupaten Pangandaran</t>
        </is>
      </c>
      <c r="G184" s="2" t="n"/>
      <c r="H184" s="2" t="n"/>
      <c r="I184" s="5" t="n">
        <v>46125</v>
      </c>
      <c r="J184" s="6" t="inlineStr">
        <is>
          <t>SJ-2026-OUT-0012</t>
        </is>
      </c>
      <c r="K184" s="4" t="n">
        <v>25000</v>
      </c>
      <c r="L184" s="4" t="n">
        <v>33125000</v>
      </c>
    </row>
    <row r="185" ht="20" customHeight="1">
      <c r="A185" s="7" t="inlineStr">
        <is>
          <t>APBN</t>
        </is>
      </c>
      <c r="B185" s="8" t="inlineStr">
        <is>
          <t>Family Kit</t>
        </is>
      </c>
      <c r="C185" s="7" t="inlineStr">
        <is>
          <t>Logistik Lainnya</t>
        </is>
      </c>
      <c r="D185" s="9" t="n">
        <v>650</v>
      </c>
      <c r="E185" s="9" t="n">
        <v>0</v>
      </c>
      <c r="F185" s="7" t="inlineStr">
        <is>
          <t>-</t>
        </is>
      </c>
      <c r="G185" s="7" t="n"/>
      <c r="H185" s="10" t="n">
        <v>46127</v>
      </c>
      <c r="I185" s="7" t="n"/>
      <c r="J185" s="11" t="inlineStr">
        <is>
          <t>BAST-2026-IN-0031</t>
        </is>
      </c>
      <c r="K185" s="9" t="n">
        <v>350000</v>
      </c>
      <c r="L185" s="9" t="n">
        <v>227500000</v>
      </c>
    </row>
    <row r="186" ht="20" customHeight="1">
      <c r="A186" s="2" t="inlineStr">
        <is>
          <t>APBD</t>
        </is>
      </c>
      <c r="B186" s="3" t="inlineStr">
        <is>
          <t>Perahu Karet</t>
        </is>
      </c>
      <c r="C186" s="2" t="inlineStr">
        <is>
          <t>Logistik Lainnya</t>
        </is>
      </c>
      <c r="D186" s="4" t="n">
        <v>16</v>
      </c>
      <c r="E186" s="4" t="n">
        <v>0</v>
      </c>
      <c r="F186" s="2" t="inlineStr">
        <is>
          <t>-</t>
        </is>
      </c>
      <c r="G186" s="2" t="n"/>
      <c r="H186" s="5" t="n">
        <v>46128</v>
      </c>
      <c r="I186" s="2" t="n"/>
      <c r="J186" s="6" t="inlineStr">
        <is>
          <t>BAST-2026-IN-0032</t>
        </is>
      </c>
      <c r="K186" s="4" t="n">
        <v>35000000</v>
      </c>
      <c r="L186" s="4" t="n">
        <v>560000000</v>
      </c>
    </row>
    <row r="187" ht="20" customHeight="1">
      <c r="A187" s="7" t="inlineStr">
        <is>
          <t>APBD</t>
        </is>
      </c>
      <c r="B187" s="8" t="inlineStr">
        <is>
          <t>Beras</t>
        </is>
      </c>
      <c r="C187" s="7" t="inlineStr">
        <is>
          <t>Pangan</t>
        </is>
      </c>
      <c r="D187" s="9" t="n">
        <v>1800</v>
      </c>
      <c r="E187" s="9" t="n">
        <v>0</v>
      </c>
      <c r="F187" s="7" t="inlineStr">
        <is>
          <t>-</t>
        </is>
      </c>
      <c r="G187" s="10" t="n">
        <v>46645</v>
      </c>
      <c r="H187" s="10" t="n">
        <v>46131</v>
      </c>
      <c r="I187" s="7" t="n"/>
      <c r="J187" s="11" t="inlineStr">
        <is>
          <t>BAST-2026-IN-0033</t>
        </is>
      </c>
      <c r="K187" s="9" t="n">
        <v>15000</v>
      </c>
      <c r="L187" s="9" t="n">
        <v>27000000</v>
      </c>
    </row>
    <row r="188" ht="20" customHeight="1">
      <c r="A188" s="2" t="inlineStr">
        <is>
          <t>APBN</t>
        </is>
      </c>
      <c r="B188" s="3" t="inlineStr">
        <is>
          <t>Tenda Keluarga</t>
        </is>
      </c>
      <c r="C188" s="2" t="inlineStr">
        <is>
          <t>Papan</t>
        </is>
      </c>
      <c r="D188" s="4" t="n">
        <v>140</v>
      </c>
      <c r="E188" s="4" t="n">
        <v>0</v>
      </c>
      <c r="F188" s="2" t="inlineStr">
        <is>
          <t>-</t>
        </is>
      </c>
      <c r="G188" s="2" t="n"/>
      <c r="H188" s="5" t="n">
        <v>46137</v>
      </c>
      <c r="I188" s="2" t="n"/>
      <c r="J188" s="6" t="inlineStr">
        <is>
          <t>BAST-2026-IN-0034</t>
        </is>
      </c>
      <c r="K188" s="4" t="n">
        <v>3200000</v>
      </c>
      <c r="L188" s="4" t="n">
        <v>448000000</v>
      </c>
    </row>
    <row r="189" ht="20" customHeight="1">
      <c r="A189" s="7" t="inlineStr">
        <is>
          <t>CSR</t>
        </is>
      </c>
      <c r="B189" s="8" t="inlineStr">
        <is>
          <t>Tenda Pengungsi</t>
        </is>
      </c>
      <c r="C189" s="7" t="inlineStr">
        <is>
          <t>Papan</t>
        </is>
      </c>
      <c r="D189" s="9" t="n">
        <v>0</v>
      </c>
      <c r="E189" s="9" t="n">
        <v>15</v>
      </c>
      <c r="F189" s="7" t="inlineStr">
        <is>
          <t>Kota Bogor</t>
        </is>
      </c>
      <c r="G189" s="7" t="n"/>
      <c r="H189" s="7" t="n"/>
      <c r="I189" s="10" t="n">
        <v>46137</v>
      </c>
      <c r="J189" s="11" t="inlineStr">
        <is>
          <t>SJ-2026-OUT-0013</t>
        </is>
      </c>
      <c r="K189" s="9" t="n">
        <v>8500000</v>
      </c>
      <c r="L189" s="9" t="n">
        <v>127500000</v>
      </c>
    </row>
    <row r="190" ht="20" customHeight="1">
      <c r="A190" s="2" t="inlineStr">
        <is>
          <t>APBN</t>
        </is>
      </c>
      <c r="B190" s="3" t="inlineStr">
        <is>
          <t>Perahu Karet</t>
        </is>
      </c>
      <c r="C190" s="2" t="inlineStr">
        <is>
          <t>Logistik Lainnya</t>
        </is>
      </c>
      <c r="D190" s="4" t="n">
        <v>0</v>
      </c>
      <c r="E190" s="4" t="n">
        <v>1</v>
      </c>
      <c r="F190" s="2" t="inlineStr">
        <is>
          <t>Kota Banjar</t>
        </is>
      </c>
      <c r="G190" s="2" t="n"/>
      <c r="H190" s="2" t="n"/>
      <c r="I190" s="5" t="n">
        <v>46138</v>
      </c>
      <c r="J190" s="6" t="inlineStr">
        <is>
          <t>SJ-2026-OUT-0014</t>
        </is>
      </c>
      <c r="K190" s="4" t="n">
        <v>35000000</v>
      </c>
      <c r="L190" s="4" t="n">
        <v>35000000</v>
      </c>
    </row>
    <row r="191" ht="20" customHeight="1">
      <c r="A191" s="7" t="inlineStr">
        <is>
          <t>APBN</t>
        </is>
      </c>
      <c r="B191" s="8" t="inlineStr">
        <is>
          <t>Family Kit</t>
        </is>
      </c>
      <c r="C191" s="7" t="inlineStr">
        <is>
          <t>Logistik Lainnya</t>
        </is>
      </c>
      <c r="D191" s="9" t="n">
        <v>1350</v>
      </c>
      <c r="E191" s="9" t="n">
        <v>0</v>
      </c>
      <c r="F191" s="7" t="inlineStr">
        <is>
          <t>-</t>
        </is>
      </c>
      <c r="G191" s="7" t="n"/>
      <c r="H191" s="10" t="n">
        <v>46144</v>
      </c>
      <c r="I191" s="7" t="n"/>
      <c r="J191" s="11" t="inlineStr">
        <is>
          <t>BAST-2026-IN-0035</t>
        </is>
      </c>
      <c r="K191" s="9" t="n">
        <v>350000</v>
      </c>
      <c r="L191" s="9" t="n">
        <v>472500000</v>
      </c>
    </row>
    <row r="192" ht="20" customHeight="1">
      <c r="A192" s="2" t="inlineStr">
        <is>
          <t>APBN</t>
        </is>
      </c>
      <c r="B192" s="3" t="inlineStr">
        <is>
          <t>Pakaian Anak</t>
        </is>
      </c>
      <c r="C192" s="2" t="inlineStr">
        <is>
          <t>Sandang</t>
        </is>
      </c>
      <c r="D192" s="4" t="n">
        <v>450</v>
      </c>
      <c r="E192" s="4" t="n">
        <v>0</v>
      </c>
      <c r="F192" s="2" t="inlineStr">
        <is>
          <t>-</t>
        </is>
      </c>
      <c r="G192" s="2" t="n"/>
      <c r="H192" s="5" t="n">
        <v>46155</v>
      </c>
      <c r="I192" s="2" t="n"/>
      <c r="J192" s="6" t="inlineStr">
        <is>
          <t>BAST-2026-IN-0036</t>
        </is>
      </c>
      <c r="K192" s="4" t="n">
        <v>75000</v>
      </c>
      <c r="L192" s="4" t="n">
        <v>33750000</v>
      </c>
    </row>
    <row r="193" ht="20" customHeight="1">
      <c r="A193" s="7" t="inlineStr">
        <is>
          <t>CSR</t>
        </is>
      </c>
      <c r="B193" s="8" t="inlineStr">
        <is>
          <t>Lauk Pauk</t>
        </is>
      </c>
      <c r="C193" s="7" t="inlineStr">
        <is>
          <t>Pangan</t>
        </is>
      </c>
      <c r="D193" s="9" t="n">
        <v>1050</v>
      </c>
      <c r="E193" s="9" t="n">
        <v>0</v>
      </c>
      <c r="F193" s="7" t="inlineStr">
        <is>
          <t>-</t>
        </is>
      </c>
      <c r="G193" s="7" t="n"/>
      <c r="H193" s="10" t="n">
        <v>46158</v>
      </c>
      <c r="I193" s="7" t="n"/>
      <c r="J193" s="11" t="inlineStr">
        <is>
          <t>BAST-2026-IN-0037</t>
        </is>
      </c>
      <c r="K193" s="9" t="n">
        <v>35000</v>
      </c>
      <c r="L193" s="9" t="n">
        <v>36750000</v>
      </c>
    </row>
    <row r="194" ht="20" customHeight="1">
      <c r="A194" s="2" t="inlineStr">
        <is>
          <t>CSR</t>
        </is>
      </c>
      <c r="B194" s="3" t="inlineStr">
        <is>
          <t>Air Mineral</t>
        </is>
      </c>
      <c r="C194" s="2" t="inlineStr">
        <is>
          <t>Pangan</t>
        </is>
      </c>
      <c r="D194" s="4" t="n">
        <v>0</v>
      </c>
      <c r="E194" s="4" t="n">
        <v>2725</v>
      </c>
      <c r="F194" s="2" t="inlineStr">
        <is>
          <t>Kabupaten Garut</t>
        </is>
      </c>
      <c r="G194" s="2" t="n"/>
      <c r="H194" s="2" t="n"/>
      <c r="I194" s="5" t="n">
        <v>46162</v>
      </c>
      <c r="J194" s="6" t="inlineStr">
        <is>
          <t>SJ-2026-OUT-0015</t>
        </is>
      </c>
      <c r="K194" s="4" t="n">
        <v>30000</v>
      </c>
      <c r="L194" s="4" t="n">
        <v>81750000</v>
      </c>
    </row>
    <row r="195" ht="20" customHeight="1">
      <c r="A195" s="7" t="inlineStr">
        <is>
          <t>APBN</t>
        </is>
      </c>
      <c r="B195" s="8" t="inlineStr">
        <is>
          <t>Chainsaw</t>
        </is>
      </c>
      <c r="C195" s="7" t="inlineStr">
        <is>
          <t>Logistik Lainnya</t>
        </is>
      </c>
      <c r="D195" s="9" t="n">
        <v>31</v>
      </c>
      <c r="E195" s="9" t="n">
        <v>0</v>
      </c>
      <c r="F195" s="7" t="inlineStr">
        <is>
          <t>-</t>
        </is>
      </c>
      <c r="G195" s="7" t="n"/>
      <c r="H195" s="10" t="n">
        <v>46163</v>
      </c>
      <c r="I195" s="7" t="n"/>
      <c r="J195" s="11" t="inlineStr">
        <is>
          <t>BAST-2026-IN-0038</t>
        </is>
      </c>
      <c r="K195" s="9" t="n">
        <v>4500000</v>
      </c>
      <c r="L195" s="9" t="n">
        <v>139500000</v>
      </c>
    </row>
    <row r="196" ht="20" customHeight="1">
      <c r="A196" s="2" t="inlineStr">
        <is>
          <t>CSR</t>
        </is>
      </c>
      <c r="B196" s="3" t="inlineStr">
        <is>
          <t>Sarung</t>
        </is>
      </c>
      <c r="C196" s="2" t="inlineStr">
        <is>
          <t>Sandang</t>
        </is>
      </c>
      <c r="D196" s="4" t="n">
        <v>0</v>
      </c>
      <c r="E196" s="4" t="n">
        <v>525</v>
      </c>
      <c r="F196" s="2" t="inlineStr">
        <is>
          <t>Kota Cimahi</t>
        </is>
      </c>
      <c r="G196" s="2" t="n"/>
      <c r="H196" s="2" t="n"/>
      <c r="I196" s="5" t="n">
        <v>46168</v>
      </c>
      <c r="J196" s="6" t="inlineStr">
        <is>
          <t>SJ-2026-OUT-0016</t>
        </is>
      </c>
      <c r="K196" s="4" t="n">
        <v>60000</v>
      </c>
      <c r="L196" s="4" t="n">
        <v>31500000</v>
      </c>
    </row>
    <row r="197" ht="20" customHeight="1">
      <c r="A197" s="7" t="inlineStr">
        <is>
          <t>CSR</t>
        </is>
      </c>
      <c r="B197" s="8" t="inlineStr">
        <is>
          <t>Sanitasi Kit</t>
        </is>
      </c>
      <c r="C197" s="7" t="inlineStr">
        <is>
          <t>Logistik Lainnya</t>
        </is>
      </c>
      <c r="D197" s="9" t="n">
        <v>550</v>
      </c>
      <c r="E197" s="9" t="n">
        <v>0</v>
      </c>
      <c r="F197" s="7" t="inlineStr">
        <is>
          <t>-</t>
        </is>
      </c>
      <c r="G197" s="7" t="n"/>
      <c r="H197" s="10" t="n">
        <v>46169</v>
      </c>
      <c r="I197" s="7" t="n"/>
      <c r="J197" s="11" t="inlineStr">
        <is>
          <t>BAST-2026-IN-0039</t>
        </is>
      </c>
      <c r="K197" s="9" t="n">
        <v>250000</v>
      </c>
      <c r="L197" s="9" t="n">
        <v>137500000</v>
      </c>
    </row>
    <row r="198" ht="20" customHeight="1">
      <c r="A198" s="2" t="inlineStr">
        <is>
          <t>APBD</t>
        </is>
      </c>
      <c r="B198" s="3" t="inlineStr">
        <is>
          <t>Seng</t>
        </is>
      </c>
      <c r="C198" s="2" t="inlineStr">
        <is>
          <t>Papan</t>
        </is>
      </c>
      <c r="D198" s="4" t="n">
        <v>1100</v>
      </c>
      <c r="E198" s="4" t="n">
        <v>0</v>
      </c>
      <c r="F198" s="2" t="inlineStr">
        <is>
          <t>-</t>
        </is>
      </c>
      <c r="G198" s="2" t="n"/>
      <c r="H198" s="5" t="n">
        <v>46170</v>
      </c>
      <c r="I198" s="2" t="n"/>
      <c r="J198" s="6" t="inlineStr">
        <is>
          <t>BAST-2026-IN-0040</t>
        </is>
      </c>
      <c r="K198" s="4" t="n">
        <v>90000</v>
      </c>
      <c r="L198" s="4" t="n">
        <v>99000000</v>
      </c>
    </row>
    <row r="199" ht="20" customHeight="1">
      <c r="A199" s="7" t="inlineStr">
        <is>
          <t>APBD</t>
        </is>
      </c>
      <c r="B199" s="8" t="inlineStr">
        <is>
          <t>Terpal</t>
        </is>
      </c>
      <c r="C199" s="7" t="inlineStr">
        <is>
          <t>Papan</t>
        </is>
      </c>
      <c r="D199" s="9" t="n">
        <v>0</v>
      </c>
      <c r="E199" s="9" t="n">
        <v>150</v>
      </c>
      <c r="F199" s="7" t="inlineStr">
        <is>
          <t>Kabupaten Ciamis</t>
        </is>
      </c>
      <c r="G199" s="7" t="n"/>
      <c r="H199" s="7" t="n"/>
      <c r="I199" s="10" t="n">
        <v>46172</v>
      </c>
      <c r="J199" s="11" t="inlineStr">
        <is>
          <t>SJ-2026-OUT-0017</t>
        </is>
      </c>
      <c r="K199" s="9" t="n">
        <v>150000</v>
      </c>
      <c r="L199" s="9" t="n">
        <v>22500000</v>
      </c>
    </row>
    <row r="200" ht="20" customHeight="1">
      <c r="A200" s="2" t="inlineStr">
        <is>
          <t>APBD</t>
        </is>
      </c>
      <c r="B200" s="3" t="inlineStr">
        <is>
          <t>Family Kit</t>
        </is>
      </c>
      <c r="C200" s="2" t="inlineStr">
        <is>
          <t>Logistik Lainnya</t>
        </is>
      </c>
      <c r="D200" s="4" t="n">
        <v>950</v>
      </c>
      <c r="E200" s="4" t="n">
        <v>0</v>
      </c>
      <c r="F200" s="2" t="inlineStr">
        <is>
          <t>-</t>
        </is>
      </c>
      <c r="G200" s="2" t="n"/>
      <c r="H200" s="5" t="n">
        <v>46175</v>
      </c>
      <c r="I200" s="2" t="n"/>
      <c r="J200" s="6" t="inlineStr">
        <is>
          <t>BAST-2026-IN-0041</t>
        </is>
      </c>
      <c r="K200" s="4" t="n">
        <v>350000</v>
      </c>
      <c r="L200" s="4" t="n">
        <v>332500000</v>
      </c>
    </row>
    <row r="201" ht="20" customHeight="1">
      <c r="A201" s="7" t="inlineStr">
        <is>
          <t>APBD</t>
        </is>
      </c>
      <c r="B201" s="8" t="inlineStr">
        <is>
          <t>Family Kit</t>
        </is>
      </c>
      <c r="C201" s="7" t="inlineStr">
        <is>
          <t>Logistik Lainnya</t>
        </is>
      </c>
      <c r="D201" s="9" t="n">
        <v>1350</v>
      </c>
      <c r="E201" s="9" t="n">
        <v>0</v>
      </c>
      <c r="F201" s="7" t="inlineStr">
        <is>
          <t>-</t>
        </is>
      </c>
      <c r="G201" s="7" t="n"/>
      <c r="H201" s="10" t="n">
        <v>46177</v>
      </c>
      <c r="I201" s="7" t="n"/>
      <c r="J201" s="11" t="inlineStr">
        <is>
          <t>BAST-2026-IN-0042</t>
        </is>
      </c>
      <c r="K201" s="9" t="n">
        <v>350000</v>
      </c>
      <c r="L201" s="9" t="n">
        <v>472500000</v>
      </c>
    </row>
    <row r="202" ht="20" customHeight="1">
      <c r="A202" s="2" t="inlineStr">
        <is>
          <t>APBN</t>
        </is>
      </c>
      <c r="B202" s="3" t="inlineStr">
        <is>
          <t>Sanitasi Kit</t>
        </is>
      </c>
      <c r="C202" s="2" t="inlineStr">
        <is>
          <t>Logistik Lainnya</t>
        </is>
      </c>
      <c r="D202" s="4" t="n">
        <v>300</v>
      </c>
      <c r="E202" s="4" t="n">
        <v>0</v>
      </c>
      <c r="F202" s="2" t="inlineStr">
        <is>
          <t>-</t>
        </is>
      </c>
      <c r="G202" s="2" t="n"/>
      <c r="H202" s="5" t="n">
        <v>46177</v>
      </c>
      <c r="I202" s="2" t="n"/>
      <c r="J202" s="6" t="inlineStr">
        <is>
          <t>BAST-2026-IN-0043</t>
        </is>
      </c>
      <c r="K202" s="4" t="n">
        <v>250000</v>
      </c>
      <c r="L202" s="4" t="n">
        <v>75000000</v>
      </c>
    </row>
    <row r="203" ht="20" customHeight="1">
      <c r="A203" s="7" t="inlineStr">
        <is>
          <t>APBN</t>
        </is>
      </c>
      <c r="B203" s="8" t="inlineStr">
        <is>
          <t>Makanan Siap Saji</t>
        </is>
      </c>
      <c r="C203" s="7" t="inlineStr">
        <is>
          <t>Pangan</t>
        </is>
      </c>
      <c r="D203" s="9" t="n">
        <v>2650</v>
      </c>
      <c r="E203" s="9" t="n">
        <v>0</v>
      </c>
      <c r="F203" s="7" t="inlineStr">
        <is>
          <t>-</t>
        </is>
      </c>
      <c r="G203" s="7" t="n"/>
      <c r="H203" s="10" t="n">
        <v>46179</v>
      </c>
      <c r="I203" s="7" t="n"/>
      <c r="J203" s="11" t="inlineStr">
        <is>
          <t>BAST-2026-IN-0044</t>
        </is>
      </c>
      <c r="K203" s="9" t="n">
        <v>45000</v>
      </c>
      <c r="L203" s="9" t="n">
        <v>119250000</v>
      </c>
    </row>
    <row r="204" ht="20" customHeight="1">
      <c r="A204" s="2" t="inlineStr">
        <is>
          <t>APBN</t>
        </is>
      </c>
      <c r="B204" s="3" t="inlineStr">
        <is>
          <t>Matras</t>
        </is>
      </c>
      <c r="C204" s="2" t="inlineStr">
        <is>
          <t>Sandang</t>
        </is>
      </c>
      <c r="D204" s="4" t="n">
        <v>0</v>
      </c>
      <c r="E204" s="4" t="n">
        <v>375</v>
      </c>
      <c r="F204" s="2" t="inlineStr">
        <is>
          <t>Kabupaten Sukabumi</t>
        </is>
      </c>
      <c r="G204" s="2" t="n"/>
      <c r="H204" s="2" t="n"/>
      <c r="I204" s="5" t="n">
        <v>46184</v>
      </c>
      <c r="J204" s="6" t="inlineStr">
        <is>
          <t>SJ-2026-OUT-0018</t>
        </is>
      </c>
      <c r="K204" s="4" t="n">
        <v>120000</v>
      </c>
      <c r="L204" s="4" t="n">
        <v>45000000</v>
      </c>
    </row>
    <row r="205" ht="20" customHeight="1">
      <c r="A205" s="7" t="inlineStr">
        <is>
          <t>APBN</t>
        </is>
      </c>
      <c r="B205" s="8" t="inlineStr">
        <is>
          <t>Pakaian Dewasa</t>
        </is>
      </c>
      <c r="C205" s="7" t="inlineStr">
        <is>
          <t>Sandang</t>
        </is>
      </c>
      <c r="D205" s="9" t="n">
        <v>0</v>
      </c>
      <c r="E205" s="9" t="n">
        <v>575</v>
      </c>
      <c r="F205" s="7" t="inlineStr">
        <is>
          <t>Kabupaten Tasikmalaya</t>
        </is>
      </c>
      <c r="G205" s="7" t="n"/>
      <c r="H205" s="7" t="n"/>
      <c r="I205" s="10" t="n">
        <v>46185</v>
      </c>
      <c r="J205" s="11" t="inlineStr">
        <is>
          <t>SJ-2026-OUT-0019</t>
        </is>
      </c>
      <c r="K205" s="9" t="n">
        <v>95000</v>
      </c>
      <c r="L205" s="9" t="n">
        <v>54625000</v>
      </c>
    </row>
    <row r="206" ht="20" customHeight="1">
      <c r="A206" s="2" t="inlineStr">
        <is>
          <t>APBN</t>
        </is>
      </c>
      <c r="B206" s="3" t="inlineStr">
        <is>
          <t>Susu Formula</t>
        </is>
      </c>
      <c r="C206" s="2" t="inlineStr">
        <is>
          <t>Pangan</t>
        </is>
      </c>
      <c r="D206" s="4" t="n">
        <v>450</v>
      </c>
      <c r="E206" s="4" t="n">
        <v>0</v>
      </c>
      <c r="F206" s="2" t="inlineStr">
        <is>
          <t>-</t>
        </is>
      </c>
      <c r="G206" s="5" t="n">
        <v>46313</v>
      </c>
      <c r="H206" s="5" t="n">
        <v>46187</v>
      </c>
      <c r="I206" s="2" t="n"/>
      <c r="J206" s="6" t="inlineStr">
        <is>
          <t>BAST-2026-IN-0045</t>
        </is>
      </c>
      <c r="K206" s="4" t="n">
        <v>65000</v>
      </c>
      <c r="L206" s="4" t="n">
        <v>29250000</v>
      </c>
    </row>
    <row r="207" ht="20" customHeight="1">
      <c r="A207" s="7" t="inlineStr">
        <is>
          <t>APBD</t>
        </is>
      </c>
      <c r="B207" s="8" t="inlineStr">
        <is>
          <t>Sanitasi Kit</t>
        </is>
      </c>
      <c r="C207" s="7" t="inlineStr">
        <is>
          <t>Logistik Lainnya</t>
        </is>
      </c>
      <c r="D207" s="9" t="n">
        <v>1050</v>
      </c>
      <c r="E207" s="9" t="n">
        <v>0</v>
      </c>
      <c r="F207" s="7" t="inlineStr">
        <is>
          <t>-</t>
        </is>
      </c>
      <c r="G207" s="10" t="n">
        <v>46798</v>
      </c>
      <c r="H207" s="10" t="n">
        <v>46198</v>
      </c>
      <c r="I207" s="7" t="n"/>
      <c r="J207" s="11" t="inlineStr">
        <is>
          <t>BAST-2026-IN-0046</t>
        </is>
      </c>
      <c r="K207" s="9" t="n">
        <v>250000</v>
      </c>
      <c r="L207" s="9" t="n">
        <v>262500000</v>
      </c>
    </row>
    <row r="208" ht="20" customHeight="1">
      <c r="A208" s="2" t="inlineStr">
        <is>
          <t>APBN</t>
        </is>
      </c>
      <c r="B208" s="3" t="inlineStr">
        <is>
          <t>Tenda Keluarga</t>
        </is>
      </c>
      <c r="C208" s="2" t="inlineStr">
        <is>
          <t>Papan</t>
        </is>
      </c>
      <c r="D208" s="4" t="n">
        <v>0</v>
      </c>
      <c r="E208" s="4" t="n">
        <v>125</v>
      </c>
      <c r="F208" s="2" t="inlineStr">
        <is>
          <t>Kabupaten Majalengka</t>
        </is>
      </c>
      <c r="G208" s="2" t="n"/>
      <c r="H208" s="2" t="n"/>
      <c r="I208" s="5" t="n">
        <v>46198</v>
      </c>
      <c r="J208" s="6" t="inlineStr">
        <is>
          <t>SJ-2026-OUT-0020</t>
        </is>
      </c>
      <c r="K208" s="4" t="n">
        <v>3200000</v>
      </c>
      <c r="L208" s="4" t="n">
        <v>400000000</v>
      </c>
    </row>
    <row r="209" ht="20" customHeight="1">
      <c r="A209" s="7" t="inlineStr">
        <is>
          <t>APBD</t>
        </is>
      </c>
      <c r="B209" s="8" t="inlineStr">
        <is>
          <t>Sarung</t>
        </is>
      </c>
      <c r="C209" s="7" t="inlineStr">
        <is>
          <t>Sandang</t>
        </is>
      </c>
      <c r="D209" s="9" t="n">
        <v>800</v>
      </c>
      <c r="E209" s="9" t="n">
        <v>0</v>
      </c>
      <c r="F209" s="7" t="inlineStr">
        <is>
          <t>-</t>
        </is>
      </c>
      <c r="G209" s="7" t="n"/>
      <c r="H209" s="10" t="n">
        <v>46199</v>
      </c>
      <c r="I209" s="7" t="n"/>
      <c r="J209" s="11" t="inlineStr">
        <is>
          <t>BAST-2026-IN-0047</t>
        </is>
      </c>
      <c r="K209" s="9" t="n">
        <v>60000</v>
      </c>
      <c r="L209" s="9" t="n">
        <v>48000000</v>
      </c>
    </row>
    <row r="210" ht="20" customHeight="1">
      <c r="A210" s="2" t="inlineStr">
        <is>
          <t>APBN</t>
        </is>
      </c>
      <c r="B210" s="3" t="inlineStr">
        <is>
          <t>Biskuit</t>
        </is>
      </c>
      <c r="C210" s="2" t="inlineStr">
        <is>
          <t>Pangan</t>
        </is>
      </c>
      <c r="D210" s="4" t="n">
        <v>2850</v>
      </c>
      <c r="E210" s="4" t="n">
        <v>0</v>
      </c>
      <c r="F210" s="2" t="inlineStr">
        <is>
          <t>-</t>
        </is>
      </c>
      <c r="G210" s="5" t="n">
        <v>46666</v>
      </c>
      <c r="H210" s="5" t="n">
        <v>46201</v>
      </c>
      <c r="I210" s="2" t="n"/>
      <c r="J210" s="6" t="inlineStr">
        <is>
          <t>BAST-2026-IN-0048</t>
        </is>
      </c>
      <c r="K210" s="4" t="n">
        <v>25000</v>
      </c>
      <c r="L210" s="4" t="n">
        <v>71250000</v>
      </c>
    </row>
    <row r="211" ht="20" customHeight="1">
      <c r="A211" s="7" t="inlineStr">
        <is>
          <t>CSR</t>
        </is>
      </c>
      <c r="B211" s="8" t="inlineStr">
        <is>
          <t>Chainsaw</t>
        </is>
      </c>
      <c r="C211" s="7" t="inlineStr">
        <is>
          <t>Logistik Lainnya</t>
        </is>
      </c>
      <c r="D211" s="9" t="n">
        <v>0</v>
      </c>
      <c r="E211" s="9" t="n">
        <v>15</v>
      </c>
      <c r="F211" s="7" t="inlineStr">
        <is>
          <t>Kota Bandung</t>
        </is>
      </c>
      <c r="G211" s="7" t="n"/>
      <c r="H211" s="7" t="n"/>
      <c r="I211" s="10" t="n">
        <v>46202</v>
      </c>
      <c r="J211" s="11" t="inlineStr">
        <is>
          <t>SJ-2026-OUT-0021</t>
        </is>
      </c>
      <c r="K211" s="9" t="n">
        <v>4500000</v>
      </c>
      <c r="L211" s="9" t="n">
        <v>67500000</v>
      </c>
    </row>
    <row r="212" ht="20" customHeight="1">
      <c r="A212" s="2" t="inlineStr">
        <is>
          <t>APBD</t>
        </is>
      </c>
      <c r="B212" s="3" t="inlineStr">
        <is>
          <t>Pakaian Dewasa</t>
        </is>
      </c>
      <c r="C212" s="2" t="inlineStr">
        <is>
          <t>Sandang</t>
        </is>
      </c>
      <c r="D212" s="4" t="n">
        <v>2400</v>
      </c>
      <c r="E212" s="4" t="n">
        <v>0</v>
      </c>
      <c r="F212" s="2" t="inlineStr">
        <is>
          <t>-</t>
        </is>
      </c>
      <c r="G212" s="2" t="n"/>
      <c r="H212" s="5" t="n">
        <v>46203</v>
      </c>
      <c r="I212" s="2" t="n"/>
      <c r="J212" s="6" t="inlineStr">
        <is>
          <t>BAST-2026-IN-0049</t>
        </is>
      </c>
      <c r="K212" s="4" t="n">
        <v>95000</v>
      </c>
      <c r="L212" s="4" t="n">
        <v>228000000</v>
      </c>
    </row>
    <row r="213" ht="20" customHeight="1">
      <c r="A213" s="7" t="inlineStr">
        <is>
          <t>APBN</t>
        </is>
      </c>
      <c r="B213" s="8" t="inlineStr">
        <is>
          <t>Pakaian Anak</t>
        </is>
      </c>
      <c r="C213" s="7" t="inlineStr">
        <is>
          <t>Sandang</t>
        </is>
      </c>
      <c r="D213" s="9" t="n">
        <v>650</v>
      </c>
      <c r="E213" s="9" t="n">
        <v>0</v>
      </c>
      <c r="F213" s="7" t="inlineStr">
        <is>
          <t>-</t>
        </is>
      </c>
      <c r="G213" s="7" t="n"/>
      <c r="H213" s="10" t="n">
        <v>46204</v>
      </c>
      <c r="I213" s="7" t="n"/>
      <c r="J213" s="11" t="inlineStr">
        <is>
          <t>BAST-2026-IN-0050</t>
        </is>
      </c>
      <c r="K213" s="9" t="n">
        <v>75000</v>
      </c>
      <c r="L213" s="9" t="n">
        <v>48750000</v>
      </c>
    </row>
    <row r="214" ht="20" customHeight="1">
      <c r="A214" s="2" t="inlineStr">
        <is>
          <t>APBN</t>
        </is>
      </c>
      <c r="B214" s="3" t="inlineStr">
        <is>
          <t>Sarung</t>
        </is>
      </c>
      <c r="C214" s="2" t="inlineStr">
        <is>
          <t>Sandang</t>
        </is>
      </c>
      <c r="D214" s="4" t="n">
        <v>150</v>
      </c>
      <c r="E214" s="4" t="n">
        <v>0</v>
      </c>
      <c r="F214" s="2" t="inlineStr">
        <is>
          <t>-</t>
        </is>
      </c>
      <c r="G214" s="2" t="n"/>
      <c r="H214" s="5" t="n">
        <v>46207</v>
      </c>
      <c r="I214" s="2" t="n"/>
      <c r="J214" s="6" t="inlineStr">
        <is>
          <t>BAST-2026-IN-0051</t>
        </is>
      </c>
      <c r="K214" s="4" t="n">
        <v>60000</v>
      </c>
      <c r="L214" s="4" t="n">
        <v>9000000</v>
      </c>
    </row>
    <row r="215" ht="20" customHeight="1">
      <c r="A215" s="7" t="inlineStr">
        <is>
          <t>APBN</t>
        </is>
      </c>
      <c r="B215" s="8" t="inlineStr">
        <is>
          <t>Lauk Pauk</t>
        </is>
      </c>
      <c r="C215" s="7" t="inlineStr">
        <is>
          <t>Pangan</t>
        </is>
      </c>
      <c r="D215" s="9" t="n">
        <v>2750</v>
      </c>
      <c r="E215" s="9" t="n">
        <v>0</v>
      </c>
      <c r="F215" s="7" t="inlineStr">
        <is>
          <t>-</t>
        </is>
      </c>
      <c r="G215" s="10" t="n">
        <v>46757</v>
      </c>
      <c r="H215" s="10" t="n">
        <v>46207</v>
      </c>
      <c r="I215" s="7" t="n"/>
      <c r="J215" s="11" t="inlineStr">
        <is>
          <t>BAST-2026-IN-0052</t>
        </is>
      </c>
      <c r="K215" s="9" t="n">
        <v>35000</v>
      </c>
      <c r="L215" s="9" t="n">
        <v>96250000</v>
      </c>
    </row>
    <row r="216" ht="20" customHeight="1">
      <c r="A216" s="2" t="inlineStr">
        <is>
          <t>APBD</t>
        </is>
      </c>
      <c r="B216" s="3" t="inlineStr">
        <is>
          <t>Biskuit</t>
        </is>
      </c>
      <c r="C216" s="2" t="inlineStr">
        <is>
          <t>Pangan</t>
        </is>
      </c>
      <c r="D216" s="4" t="n">
        <v>2300</v>
      </c>
      <c r="E216" s="4" t="n">
        <v>0</v>
      </c>
      <c r="F216" s="2" t="inlineStr">
        <is>
          <t>-</t>
        </is>
      </c>
      <c r="G216" s="5" t="n">
        <v>46593</v>
      </c>
      <c r="H216" s="5" t="n">
        <v>46209</v>
      </c>
      <c r="I216" s="2" t="n"/>
      <c r="J216" s="6" t="inlineStr">
        <is>
          <t>BAST-2026-IN-0053</t>
        </is>
      </c>
      <c r="K216" s="4" t="n">
        <v>25000</v>
      </c>
      <c r="L216" s="4" t="n">
        <v>57500000</v>
      </c>
    </row>
    <row r="217" ht="20" customHeight="1">
      <c r="A217" s="7" t="inlineStr">
        <is>
          <t>APBD</t>
        </is>
      </c>
      <c r="B217" s="8" t="inlineStr">
        <is>
          <t>Air Mineral</t>
        </is>
      </c>
      <c r="C217" s="7" t="inlineStr">
        <is>
          <t>Pangan</t>
        </is>
      </c>
      <c r="D217" s="9" t="n">
        <v>5400</v>
      </c>
      <c r="E217" s="9" t="n">
        <v>0</v>
      </c>
      <c r="F217" s="7" t="inlineStr">
        <is>
          <t>-</t>
        </is>
      </c>
      <c r="G217" s="10" t="n">
        <v>46321</v>
      </c>
      <c r="H217" s="10" t="n">
        <v>46210</v>
      </c>
      <c r="I217" s="7" t="n"/>
      <c r="J217" s="11" t="inlineStr">
        <is>
          <t>BAST-2026-IN-0054</t>
        </is>
      </c>
      <c r="K217" s="9" t="n">
        <v>30000</v>
      </c>
      <c r="L217" s="9" t="n">
        <v>162000000</v>
      </c>
    </row>
    <row r="218" ht="20" customHeight="1">
      <c r="A218" s="2" t="inlineStr">
        <is>
          <t>CSR</t>
        </is>
      </c>
      <c r="B218" s="3" t="inlineStr">
        <is>
          <t>Family Kit</t>
        </is>
      </c>
      <c r="C218" s="2" t="inlineStr">
        <is>
          <t>Logistik Lainnya</t>
        </is>
      </c>
      <c r="D218" s="4" t="n">
        <v>100</v>
      </c>
      <c r="E218" s="4" t="n">
        <v>0</v>
      </c>
      <c r="F218" s="2" t="inlineStr">
        <is>
          <t>-</t>
        </is>
      </c>
      <c r="G218" s="2" t="n"/>
      <c r="H218" s="5" t="n">
        <v>46210</v>
      </c>
      <c r="I218" s="2" t="n"/>
      <c r="J218" s="6" t="inlineStr">
        <is>
          <t>BAST-2026-IN-0055</t>
        </is>
      </c>
      <c r="K218" s="4" t="n">
        <v>350000</v>
      </c>
      <c r="L218" s="4" t="n">
        <v>35000000</v>
      </c>
    </row>
    <row r="219" ht="20" customHeight="1">
      <c r="A219" s="7" t="inlineStr">
        <is>
          <t>APBD</t>
        </is>
      </c>
      <c r="B219" s="8" t="inlineStr">
        <is>
          <t>Family Kit</t>
        </is>
      </c>
      <c r="C219" s="7" t="inlineStr">
        <is>
          <t>Logistik Lainnya</t>
        </is>
      </c>
      <c r="D219" s="9" t="n">
        <v>150</v>
      </c>
      <c r="E219" s="9" t="n">
        <v>0</v>
      </c>
      <c r="F219" s="7" t="inlineStr">
        <is>
          <t>-</t>
        </is>
      </c>
      <c r="G219" s="7" t="n"/>
      <c r="H219" s="10" t="n">
        <v>46216</v>
      </c>
      <c r="I219" s="7" t="n"/>
      <c r="J219" s="11" t="inlineStr">
        <is>
          <t>BAST-2026-IN-0056</t>
        </is>
      </c>
      <c r="K219" s="9" t="n">
        <v>350000</v>
      </c>
      <c r="L219" s="9" t="n">
        <v>52500000</v>
      </c>
    </row>
    <row r="220" ht="20" customHeight="1">
      <c r="A220" s="2" t="inlineStr">
        <is>
          <t>APBN</t>
        </is>
      </c>
      <c r="B220" s="3" t="inlineStr">
        <is>
          <t>Perahu Karet</t>
        </is>
      </c>
      <c r="C220" s="2" t="inlineStr">
        <is>
          <t>Logistik Lainnya</t>
        </is>
      </c>
      <c r="D220" s="4" t="n">
        <v>18</v>
      </c>
      <c r="E220" s="4" t="n">
        <v>0</v>
      </c>
      <c r="F220" s="2" t="inlineStr">
        <is>
          <t>-</t>
        </is>
      </c>
      <c r="G220" s="2" t="n"/>
      <c r="H220" s="5" t="n">
        <v>46216</v>
      </c>
      <c r="I220" s="2" t="n"/>
      <c r="J220" s="6" t="inlineStr">
        <is>
          <t>BAST-2026-IN-0057</t>
        </is>
      </c>
      <c r="K220" s="4" t="n">
        <v>35000000</v>
      </c>
      <c r="L220" s="4" t="n">
        <v>630000000</v>
      </c>
    </row>
    <row r="221" ht="20" customHeight="1">
      <c r="A221" s="7" t="inlineStr">
        <is>
          <t>CSR</t>
        </is>
      </c>
      <c r="B221" s="8" t="inlineStr">
        <is>
          <t>Pakaian Anak</t>
        </is>
      </c>
      <c r="C221" s="7" t="inlineStr">
        <is>
          <t>Sandang</t>
        </is>
      </c>
      <c r="D221" s="9" t="n">
        <v>0</v>
      </c>
      <c r="E221" s="9" t="n">
        <v>975</v>
      </c>
      <c r="F221" s="7" t="inlineStr">
        <is>
          <t>Kabupaten Purwakarta</t>
        </is>
      </c>
      <c r="G221" s="7" t="n"/>
      <c r="H221" s="7" t="n"/>
      <c r="I221" s="10" t="n">
        <v>46217</v>
      </c>
      <c r="J221" s="11" t="inlineStr">
        <is>
          <t>SJ-2026-OUT-0022</t>
        </is>
      </c>
      <c r="K221" s="9" t="n">
        <v>75000</v>
      </c>
      <c r="L221" s="9" t="n">
        <v>73125000</v>
      </c>
    </row>
    <row r="222" ht="20" customHeight="1">
      <c r="A222" s="2" t="inlineStr">
        <is>
          <t>APBD</t>
        </is>
      </c>
      <c r="B222" s="3" t="inlineStr">
        <is>
          <t>Biskuit</t>
        </is>
      </c>
      <c r="C222" s="2" t="inlineStr">
        <is>
          <t>Pangan</t>
        </is>
      </c>
      <c r="D222" s="4" t="n">
        <v>1000</v>
      </c>
      <c r="E222" s="4" t="n">
        <v>0</v>
      </c>
      <c r="F222" s="2" t="inlineStr">
        <is>
          <t>-</t>
        </is>
      </c>
      <c r="G222" s="2" t="n"/>
      <c r="H222" s="5" t="n">
        <v>46220</v>
      </c>
      <c r="I222" s="2" t="n"/>
      <c r="J222" s="6" t="inlineStr">
        <is>
          <t>BAST-2026-IN-0058</t>
        </is>
      </c>
      <c r="K222" s="4" t="n">
        <v>25000</v>
      </c>
      <c r="L222" s="4" t="n">
        <v>25000000</v>
      </c>
    </row>
    <row r="223" ht="20" customHeight="1">
      <c r="A223" s="7" t="inlineStr">
        <is>
          <t>APBD</t>
        </is>
      </c>
      <c r="B223" s="8" t="inlineStr">
        <is>
          <t>Perahu Karet</t>
        </is>
      </c>
      <c r="C223" s="7" t="inlineStr">
        <is>
          <t>Logistik Lainnya</t>
        </is>
      </c>
      <c r="D223" s="9" t="n">
        <v>4</v>
      </c>
      <c r="E223" s="9" t="n">
        <v>0</v>
      </c>
      <c r="F223" s="7" t="inlineStr">
        <is>
          <t>-</t>
        </is>
      </c>
      <c r="G223" s="7" t="n"/>
      <c r="H223" s="10" t="n">
        <v>46223</v>
      </c>
      <c r="I223" s="7" t="n"/>
      <c r="J223" s="11" t="inlineStr">
        <is>
          <t>BAST-2026-IN-0059</t>
        </is>
      </c>
      <c r="K223" s="9" t="n">
        <v>35000000</v>
      </c>
      <c r="L223" s="9" t="n">
        <v>140000000</v>
      </c>
    </row>
    <row r="224" ht="20" customHeight="1">
      <c r="A224" s="2" t="inlineStr">
        <is>
          <t>APBD</t>
        </is>
      </c>
      <c r="B224" s="3" t="inlineStr">
        <is>
          <t>Tenda Pengungsi</t>
        </is>
      </c>
      <c r="C224" s="2" t="inlineStr">
        <is>
          <t>Papan</t>
        </is>
      </c>
      <c r="D224" s="4" t="n">
        <v>110</v>
      </c>
      <c r="E224" s="4" t="n">
        <v>0</v>
      </c>
      <c r="F224" s="2" t="inlineStr">
        <is>
          <t>-</t>
        </is>
      </c>
      <c r="G224" s="2" t="n"/>
      <c r="H224" s="5" t="n">
        <v>46224</v>
      </c>
      <c r="I224" s="2" t="n"/>
      <c r="J224" s="6" t="inlineStr">
        <is>
          <t>BAST-2026-IN-0060</t>
        </is>
      </c>
      <c r="K224" s="4" t="n">
        <v>8500000</v>
      </c>
      <c r="L224" s="4" t="n">
        <v>935000000</v>
      </c>
    </row>
    <row r="225" ht="20" customHeight="1">
      <c r="A225" s="7" t="inlineStr">
        <is>
          <t>APBD</t>
        </is>
      </c>
      <c r="B225" s="8" t="inlineStr">
        <is>
          <t>Air Mineral</t>
        </is>
      </c>
      <c r="C225" s="7" t="inlineStr">
        <is>
          <t>Pangan</t>
        </is>
      </c>
      <c r="D225" s="9" t="n">
        <v>5950</v>
      </c>
      <c r="E225" s="9" t="n">
        <v>0</v>
      </c>
      <c r="F225" s="7" t="inlineStr">
        <is>
          <t>-</t>
        </is>
      </c>
      <c r="G225" s="10" t="n">
        <v>47074</v>
      </c>
      <c r="H225" s="10" t="n">
        <v>46225</v>
      </c>
      <c r="I225" s="7" t="n"/>
      <c r="J225" s="11" t="inlineStr">
        <is>
          <t>BAST-2026-IN-0061</t>
        </is>
      </c>
      <c r="K225" s="9" t="n">
        <v>30000</v>
      </c>
      <c r="L225" s="9" t="n">
        <v>178500000</v>
      </c>
    </row>
    <row r="226" ht="20" customHeight="1">
      <c r="A226" s="2" t="inlineStr">
        <is>
          <t>CSR</t>
        </is>
      </c>
      <c r="B226" s="3" t="inlineStr">
        <is>
          <t>Pakaian Dewasa</t>
        </is>
      </c>
      <c r="C226" s="2" t="inlineStr">
        <is>
          <t>Sandang</t>
        </is>
      </c>
      <c r="D226" s="4" t="n">
        <v>0</v>
      </c>
      <c r="E226" s="4" t="n">
        <v>1100</v>
      </c>
      <c r="F226" s="2" t="inlineStr">
        <is>
          <t>Kota Banjar</t>
        </is>
      </c>
      <c r="G226" s="2" t="n"/>
      <c r="H226" s="2" t="n"/>
      <c r="I226" s="5" t="n">
        <v>46225</v>
      </c>
      <c r="J226" s="6" t="inlineStr">
        <is>
          <t>SJ-2026-OUT-0023</t>
        </is>
      </c>
      <c r="K226" s="4" t="n">
        <v>95000</v>
      </c>
      <c r="L226" s="4" t="n">
        <v>104500000</v>
      </c>
    </row>
    <row r="227" ht="20" customHeight="1">
      <c r="A227" s="7" t="inlineStr">
        <is>
          <t>APBD</t>
        </is>
      </c>
      <c r="B227" s="8" t="inlineStr">
        <is>
          <t>Lauk Pauk</t>
        </is>
      </c>
      <c r="C227" s="7" t="inlineStr">
        <is>
          <t>Pangan</t>
        </is>
      </c>
      <c r="D227" s="9" t="n">
        <v>3650</v>
      </c>
      <c r="E227" s="9" t="n">
        <v>0</v>
      </c>
      <c r="F227" s="7" t="inlineStr">
        <is>
          <t>-</t>
        </is>
      </c>
      <c r="G227" s="7" t="n"/>
      <c r="H227" s="10" t="n">
        <v>46228</v>
      </c>
      <c r="I227" s="7" t="n"/>
      <c r="J227" s="11" t="inlineStr">
        <is>
          <t>BAST-2026-IN-0062</t>
        </is>
      </c>
      <c r="K227" s="9" t="n">
        <v>35000</v>
      </c>
      <c r="L227" s="9" t="n">
        <v>127750000</v>
      </c>
    </row>
    <row r="228" ht="20" customHeight="1">
      <c r="A228" s="2" t="inlineStr">
        <is>
          <t>CSR</t>
        </is>
      </c>
      <c r="B228" s="3" t="inlineStr">
        <is>
          <t>Matras</t>
        </is>
      </c>
      <c r="C228" s="2" t="inlineStr">
        <is>
          <t>Sandang</t>
        </is>
      </c>
      <c r="D228" s="4" t="n">
        <v>1050</v>
      </c>
      <c r="E228" s="4" t="n">
        <v>0</v>
      </c>
      <c r="F228" s="2" t="inlineStr">
        <is>
          <t>-</t>
        </is>
      </c>
      <c r="G228" s="2" t="n"/>
      <c r="H228" s="5" t="n">
        <v>46232</v>
      </c>
      <c r="I228" s="2" t="n"/>
      <c r="J228" s="6" t="inlineStr">
        <is>
          <t>BAST-2026-IN-0063</t>
        </is>
      </c>
      <c r="K228" s="4" t="n">
        <v>120000</v>
      </c>
      <c r="L228" s="4" t="n">
        <v>126000000</v>
      </c>
    </row>
    <row r="229" ht="20" customHeight="1">
      <c r="A229" s="7" t="inlineStr">
        <is>
          <t>APBN</t>
        </is>
      </c>
      <c r="B229" s="8" t="inlineStr">
        <is>
          <t>Air Mineral</t>
        </is>
      </c>
      <c r="C229" s="7" t="inlineStr">
        <is>
          <t>Pangan</t>
        </is>
      </c>
      <c r="D229" s="9" t="n">
        <v>2550</v>
      </c>
      <c r="E229" s="9" t="n">
        <v>0</v>
      </c>
      <c r="F229" s="7" t="inlineStr">
        <is>
          <t>-</t>
        </is>
      </c>
      <c r="G229" s="10" t="n">
        <v>47077</v>
      </c>
      <c r="H229" s="10" t="n">
        <v>46232</v>
      </c>
      <c r="I229" s="7" t="n"/>
      <c r="J229" s="11" t="inlineStr">
        <is>
          <t>BAST-2026-IN-0064</t>
        </is>
      </c>
      <c r="K229" s="9" t="n">
        <v>30000</v>
      </c>
      <c r="L229" s="9" t="n">
        <v>76500000</v>
      </c>
    </row>
    <row r="230" ht="20" customHeight="1">
      <c r="A230" s="2" t="inlineStr">
        <is>
          <t>APBD</t>
        </is>
      </c>
      <c r="B230" s="3" t="inlineStr">
        <is>
          <t>Biskuit</t>
        </is>
      </c>
      <c r="C230" s="2" t="inlineStr">
        <is>
          <t>Pangan</t>
        </is>
      </c>
      <c r="D230" s="4" t="n">
        <v>0</v>
      </c>
      <c r="E230" s="4" t="n">
        <v>200</v>
      </c>
      <c r="F230" s="2" t="inlineStr">
        <is>
          <t>Kota Cimahi</t>
        </is>
      </c>
      <c r="G230" s="2" t="n"/>
      <c r="H230" s="2" t="n"/>
      <c r="I230" s="5" t="n">
        <v>46232</v>
      </c>
      <c r="J230" s="6" t="inlineStr">
        <is>
          <t>SJ-2026-OUT-0024</t>
        </is>
      </c>
      <c r="K230" s="4" t="n">
        <v>25000</v>
      </c>
      <c r="L230" s="4" t="n">
        <v>5000000</v>
      </c>
    </row>
    <row r="231" ht="20" customHeight="1">
      <c r="A231" s="7" t="inlineStr">
        <is>
          <t>CSR</t>
        </is>
      </c>
      <c r="B231" s="8" t="inlineStr">
        <is>
          <t>Selimut</t>
        </is>
      </c>
      <c r="C231" s="7" t="inlineStr">
        <is>
          <t>Sandang</t>
        </is>
      </c>
      <c r="D231" s="9" t="n">
        <v>1500</v>
      </c>
      <c r="E231" s="9" t="n">
        <v>0</v>
      </c>
      <c r="F231" s="7" t="inlineStr">
        <is>
          <t>-</t>
        </is>
      </c>
      <c r="G231" s="7" t="n"/>
      <c r="H231" s="10" t="n">
        <v>46238</v>
      </c>
      <c r="I231" s="7" t="n"/>
      <c r="J231" s="11" t="inlineStr">
        <is>
          <t>BAST-2026-IN-0065</t>
        </is>
      </c>
      <c r="K231" s="9" t="n">
        <v>85000</v>
      </c>
      <c r="L231" s="9" t="n">
        <v>127500000</v>
      </c>
    </row>
    <row r="232" ht="20" customHeight="1">
      <c r="A232" s="2" t="inlineStr">
        <is>
          <t>CSR</t>
        </is>
      </c>
      <c r="B232" s="3" t="inlineStr">
        <is>
          <t>Seng</t>
        </is>
      </c>
      <c r="C232" s="2" t="inlineStr">
        <is>
          <t>Papan</t>
        </is>
      </c>
      <c r="D232" s="4" t="n">
        <v>1000</v>
      </c>
      <c r="E232" s="4" t="n">
        <v>0</v>
      </c>
      <c r="F232" s="2" t="inlineStr">
        <is>
          <t>-</t>
        </is>
      </c>
      <c r="G232" s="2" t="n"/>
      <c r="H232" s="5" t="n">
        <v>46238</v>
      </c>
      <c r="I232" s="2" t="n"/>
      <c r="J232" s="6" t="inlineStr">
        <is>
          <t>BAST-2026-IN-0066</t>
        </is>
      </c>
      <c r="K232" s="4" t="n">
        <v>90000</v>
      </c>
      <c r="L232" s="4" t="n">
        <v>90000000</v>
      </c>
    </row>
    <row r="233" ht="20" customHeight="1">
      <c r="A233" s="7" t="inlineStr">
        <is>
          <t>APBN</t>
        </is>
      </c>
      <c r="B233" s="8" t="inlineStr">
        <is>
          <t>Makanan Siap Saji</t>
        </is>
      </c>
      <c r="C233" s="7" t="inlineStr">
        <is>
          <t>Pangan</t>
        </is>
      </c>
      <c r="D233" s="9" t="n">
        <v>4700</v>
      </c>
      <c r="E233" s="9" t="n">
        <v>0</v>
      </c>
      <c r="F233" s="7" t="inlineStr">
        <is>
          <t>-</t>
        </is>
      </c>
      <c r="G233" s="10" t="n">
        <v>46809</v>
      </c>
      <c r="H233" s="10" t="n">
        <v>46249</v>
      </c>
      <c r="I233" s="7" t="n"/>
      <c r="J233" s="11" t="inlineStr">
        <is>
          <t>BAST-2026-IN-0067</t>
        </is>
      </c>
      <c r="K233" s="9" t="n">
        <v>45000</v>
      </c>
      <c r="L233" s="9" t="n">
        <v>211500000</v>
      </c>
    </row>
    <row r="234" ht="20" customHeight="1">
      <c r="A234" s="2" t="inlineStr">
        <is>
          <t>APBN</t>
        </is>
      </c>
      <c r="B234" s="3" t="inlineStr">
        <is>
          <t>Makanan Siap Saji</t>
        </is>
      </c>
      <c r="C234" s="2" t="inlineStr">
        <is>
          <t>Pangan</t>
        </is>
      </c>
      <c r="D234" s="4" t="n">
        <v>2650</v>
      </c>
      <c r="E234" s="4" t="n">
        <v>0</v>
      </c>
      <c r="F234" s="2" t="inlineStr">
        <is>
          <t>-</t>
        </is>
      </c>
      <c r="G234" s="5" t="n">
        <v>46813</v>
      </c>
      <c r="H234" s="5" t="n">
        <v>46255</v>
      </c>
      <c r="I234" s="2" t="n"/>
      <c r="J234" s="6" t="inlineStr">
        <is>
          <t>BAST-2026-IN-0068</t>
        </is>
      </c>
      <c r="K234" s="4" t="n">
        <v>45000</v>
      </c>
      <c r="L234" s="4" t="n">
        <v>119250000</v>
      </c>
    </row>
    <row r="235" ht="20" customHeight="1">
      <c r="A235" s="7" t="inlineStr">
        <is>
          <t>APBD</t>
        </is>
      </c>
      <c r="B235" s="8" t="inlineStr">
        <is>
          <t>Pakaian Dewasa</t>
        </is>
      </c>
      <c r="C235" s="7" t="inlineStr">
        <is>
          <t>Sandang</t>
        </is>
      </c>
      <c r="D235" s="9" t="n">
        <v>300</v>
      </c>
      <c r="E235" s="9" t="n">
        <v>0</v>
      </c>
      <c r="F235" s="7" t="inlineStr">
        <is>
          <t>-</t>
        </is>
      </c>
      <c r="G235" s="7" t="n"/>
      <c r="H235" s="10" t="n">
        <v>46256</v>
      </c>
      <c r="I235" s="7" t="n"/>
      <c r="J235" s="11" t="inlineStr">
        <is>
          <t>BAST-2026-IN-0069</t>
        </is>
      </c>
      <c r="K235" s="9" t="n">
        <v>95000</v>
      </c>
      <c r="L235" s="9" t="n">
        <v>28500000</v>
      </c>
    </row>
    <row r="236" ht="20" customHeight="1">
      <c r="A236" s="2" t="inlineStr">
        <is>
          <t>APBD</t>
        </is>
      </c>
      <c r="B236" s="3" t="inlineStr">
        <is>
          <t>Makanan Siap Saji</t>
        </is>
      </c>
      <c r="C236" s="2" t="inlineStr">
        <is>
          <t>Pangan</t>
        </is>
      </c>
      <c r="D236" s="4" t="n">
        <v>0</v>
      </c>
      <c r="E236" s="4" t="n">
        <v>2050</v>
      </c>
      <c r="F236" s="2" t="inlineStr">
        <is>
          <t>Kabupaten Subang</t>
        </is>
      </c>
      <c r="G236" s="2" t="n"/>
      <c r="H236" s="2" t="n"/>
      <c r="I236" s="5" t="n">
        <v>46256</v>
      </c>
      <c r="J236" s="6" t="inlineStr">
        <is>
          <t>SJ-2026-OUT-0025</t>
        </is>
      </c>
      <c r="K236" s="4" t="n">
        <v>45000</v>
      </c>
      <c r="L236" s="4" t="n">
        <v>92250000</v>
      </c>
    </row>
    <row r="237" ht="20" customHeight="1">
      <c r="A237" s="7" t="inlineStr">
        <is>
          <t>CSR</t>
        </is>
      </c>
      <c r="B237" s="8" t="inlineStr">
        <is>
          <t>Susu Formula</t>
        </is>
      </c>
      <c r="C237" s="7" t="inlineStr">
        <is>
          <t>Pangan</t>
        </is>
      </c>
      <c r="D237" s="9" t="n">
        <v>400</v>
      </c>
      <c r="E237" s="9" t="n">
        <v>0</v>
      </c>
      <c r="F237" s="7" t="inlineStr">
        <is>
          <t>-</t>
        </is>
      </c>
      <c r="G237" s="10" t="n">
        <v>46237</v>
      </c>
      <c r="H237" s="10" t="n">
        <v>46260</v>
      </c>
      <c r="I237" s="7" t="n"/>
      <c r="J237" s="11" t="inlineStr">
        <is>
          <t>BAST-2026-IN-0070</t>
        </is>
      </c>
      <c r="K237" s="9" t="n">
        <v>65000</v>
      </c>
      <c r="L237" s="9" t="n">
        <v>26000000</v>
      </c>
    </row>
    <row r="238" ht="20" customHeight="1">
      <c r="A238" s="2" t="inlineStr">
        <is>
          <t>APBN</t>
        </is>
      </c>
      <c r="B238" s="3" t="inlineStr">
        <is>
          <t>Pakaian Dewasa</t>
        </is>
      </c>
      <c r="C238" s="2" t="inlineStr">
        <is>
          <t>Sandang</t>
        </is>
      </c>
      <c r="D238" s="4" t="n">
        <v>2050</v>
      </c>
      <c r="E238" s="4" t="n">
        <v>0</v>
      </c>
      <c r="F238" s="2" t="inlineStr">
        <is>
          <t>-</t>
        </is>
      </c>
      <c r="G238" s="2" t="n"/>
      <c r="H238" s="5" t="n">
        <v>46260</v>
      </c>
      <c r="I238" s="2" t="n"/>
      <c r="J238" s="6" t="inlineStr">
        <is>
          <t>BAST-2026-IN-0071</t>
        </is>
      </c>
      <c r="K238" s="4" t="n">
        <v>95000</v>
      </c>
      <c r="L238" s="4" t="n">
        <v>194750000</v>
      </c>
    </row>
    <row r="239" ht="20" customHeight="1">
      <c r="A239" s="7" t="inlineStr">
        <is>
          <t>APBN</t>
        </is>
      </c>
      <c r="B239" s="8" t="inlineStr">
        <is>
          <t>Pakaian Anak</t>
        </is>
      </c>
      <c r="C239" s="7" t="inlineStr">
        <is>
          <t>Sandang</t>
        </is>
      </c>
      <c r="D239" s="9" t="n">
        <v>1150</v>
      </c>
      <c r="E239" s="9" t="n">
        <v>0</v>
      </c>
      <c r="F239" s="7" t="inlineStr">
        <is>
          <t>-</t>
        </is>
      </c>
      <c r="G239" s="7" t="n"/>
      <c r="H239" s="10" t="n">
        <v>46261</v>
      </c>
      <c r="I239" s="7" t="n"/>
      <c r="J239" s="11" t="inlineStr">
        <is>
          <t>BAST-2026-IN-0072</t>
        </is>
      </c>
      <c r="K239" s="9" t="n">
        <v>75000</v>
      </c>
      <c r="L239" s="9" t="n">
        <v>86250000</v>
      </c>
    </row>
    <row r="240" ht="20" customHeight="1">
      <c r="A240" s="2" t="inlineStr">
        <is>
          <t>APBD</t>
        </is>
      </c>
      <c r="B240" s="3" t="inlineStr">
        <is>
          <t>Genset</t>
        </is>
      </c>
      <c r="C240" s="2" t="inlineStr">
        <is>
          <t>Logistik Lainnya</t>
        </is>
      </c>
      <c r="D240" s="4" t="n">
        <v>22</v>
      </c>
      <c r="E240" s="4" t="n">
        <v>0</v>
      </c>
      <c r="F240" s="2" t="inlineStr">
        <is>
          <t>-</t>
        </is>
      </c>
      <c r="G240" s="2" t="n"/>
      <c r="H240" s="5" t="n">
        <v>46262</v>
      </c>
      <c r="I240" s="2" t="n"/>
      <c r="J240" s="6" t="inlineStr">
        <is>
          <t>BAST-2026-IN-0073</t>
        </is>
      </c>
      <c r="K240" s="4" t="n">
        <v>12500000</v>
      </c>
      <c r="L240" s="4" t="n">
        <v>275000000</v>
      </c>
    </row>
    <row r="241" ht="20" customHeight="1">
      <c r="A241" s="7" t="inlineStr">
        <is>
          <t>APBN</t>
        </is>
      </c>
      <c r="B241" s="8" t="inlineStr">
        <is>
          <t>Tenda Pengungsi</t>
        </is>
      </c>
      <c r="C241" s="7" t="inlineStr">
        <is>
          <t>Papan</t>
        </is>
      </c>
      <c r="D241" s="9" t="n">
        <v>0</v>
      </c>
      <c r="E241" s="9" t="n">
        <v>15</v>
      </c>
      <c r="F241" s="7" t="inlineStr">
        <is>
          <t>Kota Bogor</t>
        </is>
      </c>
      <c r="G241" s="7" t="n"/>
      <c r="H241" s="7" t="n"/>
      <c r="I241" s="10" t="n">
        <v>46264</v>
      </c>
      <c r="J241" s="11" t="inlineStr">
        <is>
          <t>SJ-2026-OUT-0026</t>
        </is>
      </c>
      <c r="K241" s="9" t="n">
        <v>8500000</v>
      </c>
      <c r="L241" s="9" t="n">
        <v>127500000</v>
      </c>
    </row>
    <row r="242" ht="20" customHeight="1">
      <c r="A242" s="2" t="inlineStr">
        <is>
          <t>APBD</t>
        </is>
      </c>
      <c r="B242" s="3" t="inlineStr">
        <is>
          <t>Perahu Karet</t>
        </is>
      </c>
      <c r="C242" s="2" t="inlineStr">
        <is>
          <t>Logistik Lainnya</t>
        </is>
      </c>
      <c r="D242" s="4" t="n">
        <v>17</v>
      </c>
      <c r="E242" s="4" t="n">
        <v>0</v>
      </c>
      <c r="F242" s="2" t="inlineStr">
        <is>
          <t>-</t>
        </is>
      </c>
      <c r="G242" s="2" t="n"/>
      <c r="H242" s="5" t="n">
        <v>46268</v>
      </c>
      <c r="I242" s="2" t="n"/>
      <c r="J242" s="6" t="inlineStr">
        <is>
          <t>BAST-2026-IN-0074</t>
        </is>
      </c>
      <c r="K242" s="4" t="n">
        <v>35000000</v>
      </c>
      <c r="L242" s="4" t="n">
        <v>595000000</v>
      </c>
    </row>
    <row r="243" ht="20" customHeight="1">
      <c r="A243" s="7" t="inlineStr">
        <is>
          <t>APBN</t>
        </is>
      </c>
      <c r="B243" s="8" t="inlineStr">
        <is>
          <t>Seng</t>
        </is>
      </c>
      <c r="C243" s="7" t="inlineStr">
        <is>
          <t>Papan</t>
        </is>
      </c>
      <c r="D243" s="9" t="n">
        <v>1300</v>
      </c>
      <c r="E243" s="9" t="n">
        <v>0</v>
      </c>
      <c r="F243" s="7" t="inlineStr">
        <is>
          <t>-</t>
        </is>
      </c>
      <c r="G243" s="7" t="n"/>
      <c r="H243" s="10" t="n">
        <v>46268</v>
      </c>
      <c r="I243" s="7" t="n"/>
      <c r="J243" s="11" t="inlineStr">
        <is>
          <t>BAST-2026-IN-0075</t>
        </is>
      </c>
      <c r="K243" s="9" t="n">
        <v>90000</v>
      </c>
      <c r="L243" s="9" t="n">
        <v>117000000</v>
      </c>
    </row>
    <row r="244" ht="20" customHeight="1">
      <c r="A244" s="2" t="inlineStr">
        <is>
          <t>APBN</t>
        </is>
      </c>
      <c r="B244" s="3" t="inlineStr">
        <is>
          <t>Tenda Keluarga</t>
        </is>
      </c>
      <c r="C244" s="2" t="inlineStr">
        <is>
          <t>Papan</t>
        </is>
      </c>
      <c r="D244" s="4" t="n">
        <v>60</v>
      </c>
      <c r="E244" s="4" t="n">
        <v>0</v>
      </c>
      <c r="F244" s="2" t="inlineStr">
        <is>
          <t>-</t>
        </is>
      </c>
      <c r="G244" s="2" t="n"/>
      <c r="H244" s="5" t="n">
        <v>46271</v>
      </c>
      <c r="I244" s="2" t="n"/>
      <c r="J244" s="6" t="inlineStr">
        <is>
          <t>BAST-2026-IN-0076</t>
        </is>
      </c>
      <c r="K244" s="4" t="n">
        <v>3200000</v>
      </c>
      <c r="L244" s="4" t="n">
        <v>192000000</v>
      </c>
    </row>
    <row r="245" ht="20" customHeight="1">
      <c r="A245" s="7" t="inlineStr">
        <is>
          <t>APBD</t>
        </is>
      </c>
      <c r="B245" s="8" t="inlineStr">
        <is>
          <t>Chainsaw</t>
        </is>
      </c>
      <c r="C245" s="7" t="inlineStr">
        <is>
          <t>Logistik Lainnya</t>
        </is>
      </c>
      <c r="D245" s="9" t="n">
        <v>0</v>
      </c>
      <c r="E245" s="9" t="n">
        <v>30</v>
      </c>
      <c r="F245" s="7" t="inlineStr">
        <is>
          <t>Kota Bekasi</t>
        </is>
      </c>
      <c r="G245" s="7" t="n"/>
      <c r="H245" s="7" t="n"/>
      <c r="I245" s="10" t="n">
        <v>46272</v>
      </c>
      <c r="J245" s="11" t="inlineStr">
        <is>
          <t>SJ-2026-OUT-0027</t>
        </is>
      </c>
      <c r="K245" s="9" t="n">
        <v>4500000</v>
      </c>
      <c r="L245" s="9" t="n">
        <v>135000000</v>
      </c>
    </row>
    <row r="246" ht="20" customHeight="1">
      <c r="A246" s="2" t="inlineStr">
        <is>
          <t>CSR</t>
        </is>
      </c>
      <c r="B246" s="3" t="inlineStr">
        <is>
          <t>Genset</t>
        </is>
      </c>
      <c r="C246" s="2" t="inlineStr">
        <is>
          <t>Logistik Lainnya</t>
        </is>
      </c>
      <c r="D246" s="4" t="n">
        <v>13</v>
      </c>
      <c r="E246" s="4" t="n">
        <v>0</v>
      </c>
      <c r="F246" s="2" t="inlineStr">
        <is>
          <t>-</t>
        </is>
      </c>
      <c r="G246" s="2" t="n"/>
      <c r="H246" s="5" t="n">
        <v>46274</v>
      </c>
      <c r="I246" s="2" t="n"/>
      <c r="J246" s="6" t="inlineStr">
        <is>
          <t>BAST-2026-IN-0077</t>
        </is>
      </c>
      <c r="K246" s="4" t="n">
        <v>12500000</v>
      </c>
      <c r="L246" s="4" t="n">
        <v>162500000</v>
      </c>
    </row>
    <row r="247" ht="20" customHeight="1">
      <c r="A247" s="7" t="inlineStr">
        <is>
          <t>APBN</t>
        </is>
      </c>
      <c r="B247" s="8" t="inlineStr">
        <is>
          <t>Biskuit</t>
        </is>
      </c>
      <c r="C247" s="7" t="inlineStr">
        <is>
          <t>Pangan</t>
        </is>
      </c>
      <c r="D247" s="9" t="n">
        <v>1950</v>
      </c>
      <c r="E247" s="9" t="n">
        <v>0</v>
      </c>
      <c r="F247" s="7" t="inlineStr">
        <is>
          <t>-</t>
        </is>
      </c>
      <c r="G247" s="10" t="n">
        <v>46776</v>
      </c>
      <c r="H247" s="10" t="n">
        <v>46276</v>
      </c>
      <c r="I247" s="7" t="n"/>
      <c r="J247" s="11" t="inlineStr">
        <is>
          <t>BAST-2026-IN-0078</t>
        </is>
      </c>
      <c r="K247" s="9" t="n">
        <v>25000</v>
      </c>
      <c r="L247" s="9" t="n">
        <v>48750000</v>
      </c>
    </row>
    <row r="248" ht="20" customHeight="1">
      <c r="A248" s="2" t="inlineStr">
        <is>
          <t>APBN</t>
        </is>
      </c>
      <c r="B248" s="3" t="inlineStr">
        <is>
          <t>Lauk Pauk</t>
        </is>
      </c>
      <c r="C248" s="2" t="inlineStr">
        <is>
          <t>Pangan</t>
        </is>
      </c>
      <c r="D248" s="4" t="n">
        <v>2800</v>
      </c>
      <c r="E248" s="4" t="n">
        <v>0</v>
      </c>
      <c r="F248" s="2" t="inlineStr">
        <is>
          <t>-</t>
        </is>
      </c>
      <c r="G248" s="2" t="n"/>
      <c r="H248" s="5" t="n">
        <v>46279</v>
      </c>
      <c r="I248" s="2" t="n"/>
      <c r="J248" s="6" t="inlineStr">
        <is>
          <t>BAST-2026-IN-0079</t>
        </is>
      </c>
      <c r="K248" s="4" t="n">
        <v>35000</v>
      </c>
      <c r="L248" s="4" t="n">
        <v>98000000</v>
      </c>
    </row>
    <row r="249" ht="20" customHeight="1">
      <c r="A249" s="7" t="inlineStr">
        <is>
          <t>CSR</t>
        </is>
      </c>
      <c r="B249" s="8" t="inlineStr">
        <is>
          <t>Perahu Karet</t>
        </is>
      </c>
      <c r="C249" s="7" t="inlineStr">
        <is>
          <t>Logistik Lainnya</t>
        </is>
      </c>
      <c r="D249" s="9" t="n">
        <v>6</v>
      </c>
      <c r="E249" s="9" t="n">
        <v>0</v>
      </c>
      <c r="F249" s="7" t="inlineStr">
        <is>
          <t>-</t>
        </is>
      </c>
      <c r="G249" s="7" t="n"/>
      <c r="H249" s="10" t="n">
        <v>46281</v>
      </c>
      <c r="I249" s="7" t="n"/>
      <c r="J249" s="11" t="inlineStr">
        <is>
          <t>BAST-2026-IN-0080</t>
        </is>
      </c>
      <c r="K249" s="9" t="n">
        <v>35000000</v>
      </c>
      <c r="L249" s="9" t="n">
        <v>210000000</v>
      </c>
    </row>
    <row r="250" ht="20" customHeight="1">
      <c r="A250" s="2" t="inlineStr">
        <is>
          <t>APBD</t>
        </is>
      </c>
      <c r="B250" s="3" t="inlineStr">
        <is>
          <t>Chainsaw</t>
        </is>
      </c>
      <c r="C250" s="2" t="inlineStr">
        <is>
          <t>Logistik Lainnya</t>
        </is>
      </c>
      <c r="D250" s="4" t="n">
        <v>35</v>
      </c>
      <c r="E250" s="4" t="n">
        <v>0</v>
      </c>
      <c r="F250" s="2" t="inlineStr">
        <is>
          <t>-</t>
        </is>
      </c>
      <c r="G250" s="2" t="n"/>
      <c r="H250" s="5" t="n">
        <v>46281</v>
      </c>
      <c r="I250" s="2" t="n"/>
      <c r="J250" s="6" t="inlineStr">
        <is>
          <t>BAST-2026-IN-0081</t>
        </is>
      </c>
      <c r="K250" s="4" t="n">
        <v>4500000</v>
      </c>
      <c r="L250" s="4" t="n">
        <v>157500000</v>
      </c>
    </row>
    <row r="251" ht="20" customHeight="1">
      <c r="A251" s="7" t="inlineStr">
        <is>
          <t>APBD</t>
        </is>
      </c>
      <c r="B251" s="8" t="inlineStr">
        <is>
          <t>Air Mineral</t>
        </is>
      </c>
      <c r="C251" s="7" t="inlineStr">
        <is>
          <t>Pangan</t>
        </is>
      </c>
      <c r="D251" s="9" t="n">
        <v>5000</v>
      </c>
      <c r="E251" s="9" t="n">
        <v>0</v>
      </c>
      <c r="F251" s="7" t="inlineStr">
        <is>
          <t>-</t>
        </is>
      </c>
      <c r="G251" s="7" t="n"/>
      <c r="H251" s="10" t="n">
        <v>46291</v>
      </c>
      <c r="I251" s="7" t="n"/>
      <c r="J251" s="11" t="inlineStr">
        <is>
          <t>BAST-2026-IN-0082</t>
        </is>
      </c>
      <c r="K251" s="9" t="n">
        <v>30000</v>
      </c>
      <c r="L251" s="9" t="n">
        <v>150000000</v>
      </c>
    </row>
  </sheetData>
  <dataValidations count="3">
    <dataValidation sqref="A2:A251 B2:B61" showDropDown="0" showInputMessage="0" showErrorMessage="0" allowBlank="1" type="list">
      <formula1>'_RefData'!$A$2:$A$4</formula1>
    </dataValidation>
    <dataValidation sqref="C2:C251 D2:D61 E2:E89" showDropDown="0" showInputMessage="0" showErrorMessage="0" allowBlank="1" type="list">
      <formula1>'_RefData'!$B$2:$B$5</formula1>
    </dataValidation>
    <dataValidation sqref="D2:D89 E2:E51 F2:F251" showDropDown="0" showInputMessage="0" showErrorMessage="0" allowBlank="1" type="list">
      <formula1>'_RefData'!$C$2:$C$29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7" customWidth="1" min="4" max="4"/>
    <col width="23" customWidth="1" min="5" max="5"/>
    <col width="27" customWidth="1" min="6" max="6"/>
    <col width="21" customWidth="1" min="7" max="7"/>
    <col width="21" customWidth="1" min="8" max="8"/>
    <col width="20" customWidth="1" min="9" max="9"/>
  </cols>
  <sheetData>
    <row r="1" ht="26" customHeight="1">
      <c r="A1" s="1" t="inlineStr">
        <is>
          <t>Sumber Pendanaan</t>
        </is>
      </c>
      <c r="B1" s="1" t="inlineStr">
        <is>
          <t>Barang</t>
        </is>
      </c>
      <c r="C1" s="1" t="inlineStr">
        <is>
          <t>Kategori Barang</t>
        </is>
      </c>
      <c r="D1" s="1" t="inlineStr">
        <is>
          <t>Jumlah Masuk</t>
        </is>
      </c>
      <c r="E1" s="1" t="inlineStr">
        <is>
          <t>Tanggal Kadaluwarsa</t>
        </is>
      </c>
      <c r="F1" s="1" t="inlineStr">
        <is>
          <t>Tanggal barang diterima</t>
        </is>
      </c>
      <c r="G1" s="1" t="inlineStr">
        <is>
          <t>Nomor Dokumen</t>
        </is>
      </c>
      <c r="H1" s="1" t="inlineStr">
        <is>
          <t>Harga Satuan (Rp)</t>
        </is>
      </c>
      <c r="I1" s="1" t="inlineStr">
        <is>
          <t>Nilai Total (Rp)</t>
        </is>
      </c>
    </row>
    <row r="2" ht="20" customHeight="1">
      <c r="A2" s="2" t="inlineStr">
        <is>
          <t>APBN</t>
        </is>
      </c>
      <c r="B2" s="3" t="inlineStr">
        <is>
          <t>Matras</t>
        </is>
      </c>
      <c r="C2" s="2" t="inlineStr">
        <is>
          <t>Sandang</t>
        </is>
      </c>
      <c r="D2" s="4" t="n">
        <v>600</v>
      </c>
      <c r="E2" s="2" t="n"/>
      <c r="F2" s="5" t="n">
        <v>45658</v>
      </c>
      <c r="G2" s="6" t="inlineStr">
        <is>
          <t>BAST-2025-IN-0001</t>
        </is>
      </c>
      <c r="H2" s="4" t="n">
        <v>120000</v>
      </c>
      <c r="I2" s="4" t="n">
        <v>72000000</v>
      </c>
    </row>
    <row r="3" ht="20" customHeight="1">
      <c r="A3" s="7" t="inlineStr">
        <is>
          <t>APBN</t>
        </is>
      </c>
      <c r="B3" s="8" t="inlineStr">
        <is>
          <t>Matras</t>
        </is>
      </c>
      <c r="C3" s="7" t="inlineStr">
        <is>
          <t>Sandang</t>
        </is>
      </c>
      <c r="D3" s="9" t="n">
        <v>800</v>
      </c>
      <c r="E3" s="7" t="n"/>
      <c r="F3" s="10" t="n">
        <v>45661</v>
      </c>
      <c r="G3" s="11" t="inlineStr">
        <is>
          <t>BAST-2025-IN-0002</t>
        </is>
      </c>
      <c r="H3" s="9" t="n">
        <v>120000</v>
      </c>
      <c r="I3" s="9" t="n">
        <v>96000000</v>
      </c>
    </row>
    <row r="4" ht="20" customHeight="1">
      <c r="A4" s="2" t="inlineStr">
        <is>
          <t>APBN</t>
        </is>
      </c>
      <c r="B4" s="3" t="inlineStr">
        <is>
          <t>Genset</t>
        </is>
      </c>
      <c r="C4" s="2" t="inlineStr">
        <is>
          <t>Logistik Lainnya</t>
        </is>
      </c>
      <c r="D4" s="4" t="n">
        <v>20</v>
      </c>
      <c r="E4" s="2" t="n"/>
      <c r="F4" s="5" t="n">
        <v>45664</v>
      </c>
      <c r="G4" s="6" t="inlineStr">
        <is>
          <t>BAST-2025-IN-0003</t>
        </is>
      </c>
      <c r="H4" s="4" t="n">
        <v>12500000</v>
      </c>
      <c r="I4" s="4" t="n">
        <v>250000000</v>
      </c>
    </row>
    <row r="5" ht="20" customHeight="1">
      <c r="A5" s="7" t="inlineStr">
        <is>
          <t>APBD</t>
        </is>
      </c>
      <c r="B5" s="8" t="inlineStr">
        <is>
          <t>Perahu Karet</t>
        </is>
      </c>
      <c r="C5" s="7" t="inlineStr">
        <is>
          <t>Logistik Lainnya</t>
        </is>
      </c>
      <c r="D5" s="9" t="n">
        <v>8</v>
      </c>
      <c r="E5" s="7" t="n"/>
      <c r="F5" s="10" t="n">
        <v>45665</v>
      </c>
      <c r="G5" s="11" t="inlineStr">
        <is>
          <t>BAST-2025-IN-0004</t>
        </is>
      </c>
      <c r="H5" s="9" t="n">
        <v>35000000</v>
      </c>
      <c r="I5" s="9" t="n">
        <v>280000000</v>
      </c>
    </row>
    <row r="6" ht="20" customHeight="1">
      <c r="A6" s="2" t="inlineStr">
        <is>
          <t>CSR</t>
        </is>
      </c>
      <c r="B6" s="3" t="inlineStr">
        <is>
          <t>Pakaian Anak</t>
        </is>
      </c>
      <c r="C6" s="2" t="inlineStr">
        <is>
          <t>Sandang</t>
        </is>
      </c>
      <c r="D6" s="4" t="n">
        <v>1600</v>
      </c>
      <c r="E6" s="2" t="n"/>
      <c r="F6" s="5" t="n">
        <v>45669</v>
      </c>
      <c r="G6" s="6" t="inlineStr">
        <is>
          <t>BAST-2025-IN-0005</t>
        </is>
      </c>
      <c r="H6" s="4" t="n">
        <v>75000</v>
      </c>
      <c r="I6" s="4" t="n">
        <v>120000000</v>
      </c>
    </row>
    <row r="7" ht="20" customHeight="1">
      <c r="A7" s="7" t="inlineStr">
        <is>
          <t>CSR</t>
        </is>
      </c>
      <c r="B7" s="8" t="inlineStr">
        <is>
          <t>Family Kit</t>
        </is>
      </c>
      <c r="C7" s="7" t="inlineStr">
        <is>
          <t>Logistik Lainnya</t>
        </is>
      </c>
      <c r="D7" s="9" t="n">
        <v>1050</v>
      </c>
      <c r="E7" s="7" t="n"/>
      <c r="F7" s="10" t="n">
        <v>45677</v>
      </c>
      <c r="G7" s="11" t="inlineStr">
        <is>
          <t>BAST-2025-IN-0006</t>
        </is>
      </c>
      <c r="H7" s="9" t="n">
        <v>350000</v>
      </c>
      <c r="I7" s="9" t="n">
        <v>367500000</v>
      </c>
    </row>
    <row r="8" ht="20" customHeight="1">
      <c r="A8" s="2" t="inlineStr">
        <is>
          <t>APBN</t>
        </is>
      </c>
      <c r="B8" s="3" t="inlineStr">
        <is>
          <t>Perahu Karet</t>
        </is>
      </c>
      <c r="C8" s="2" t="inlineStr">
        <is>
          <t>Logistik Lainnya</t>
        </is>
      </c>
      <c r="D8" s="4" t="n">
        <v>15</v>
      </c>
      <c r="E8" s="2" t="n"/>
      <c r="F8" s="5" t="n">
        <v>45679</v>
      </c>
      <c r="G8" s="6" t="inlineStr">
        <is>
          <t>BAST-2025-IN-0007</t>
        </is>
      </c>
      <c r="H8" s="4" t="n">
        <v>35000000</v>
      </c>
      <c r="I8" s="4" t="n">
        <v>525000000</v>
      </c>
    </row>
    <row r="9" ht="20" customHeight="1">
      <c r="A9" s="7" t="inlineStr">
        <is>
          <t>APBN</t>
        </is>
      </c>
      <c r="B9" s="8" t="inlineStr">
        <is>
          <t>Pakaian Dewasa</t>
        </is>
      </c>
      <c r="C9" s="7" t="inlineStr">
        <is>
          <t>Sandang</t>
        </is>
      </c>
      <c r="D9" s="9" t="n">
        <v>550</v>
      </c>
      <c r="E9" s="7" t="n"/>
      <c r="F9" s="10" t="n">
        <v>45683</v>
      </c>
      <c r="G9" s="11" t="inlineStr">
        <is>
          <t>BAST-2025-IN-0008</t>
        </is>
      </c>
      <c r="H9" s="9" t="n">
        <v>95000</v>
      </c>
      <c r="I9" s="9" t="n">
        <v>52250000</v>
      </c>
    </row>
    <row r="10" ht="20" customHeight="1">
      <c r="A10" s="2" t="inlineStr">
        <is>
          <t>APBD</t>
        </is>
      </c>
      <c r="B10" s="3" t="inlineStr">
        <is>
          <t>Tenda Pengungsi</t>
        </is>
      </c>
      <c r="C10" s="2" t="inlineStr">
        <is>
          <t>Papan</t>
        </is>
      </c>
      <c r="D10" s="4" t="n">
        <v>110</v>
      </c>
      <c r="E10" s="2" t="n"/>
      <c r="F10" s="5" t="n">
        <v>45685</v>
      </c>
      <c r="G10" s="6" t="inlineStr">
        <is>
          <t>BAST-2025-IN-0009</t>
        </is>
      </c>
      <c r="H10" s="4" t="n">
        <v>8500000</v>
      </c>
      <c r="I10" s="4" t="n">
        <v>935000000</v>
      </c>
    </row>
    <row r="11" ht="20" customHeight="1">
      <c r="A11" s="7" t="inlineStr">
        <is>
          <t>APBD</t>
        </is>
      </c>
      <c r="B11" s="8" t="inlineStr">
        <is>
          <t>Seng</t>
        </is>
      </c>
      <c r="C11" s="7" t="inlineStr">
        <is>
          <t>Papan</t>
        </is>
      </c>
      <c r="D11" s="9" t="n">
        <v>1950</v>
      </c>
      <c r="E11" s="7" t="n"/>
      <c r="F11" s="10" t="n">
        <v>45688</v>
      </c>
      <c r="G11" s="11" t="inlineStr">
        <is>
          <t>BAST-2025-IN-0010</t>
        </is>
      </c>
      <c r="H11" s="9" t="n">
        <v>90000</v>
      </c>
      <c r="I11" s="9" t="n">
        <v>175500000</v>
      </c>
    </row>
    <row r="12" ht="20" customHeight="1">
      <c r="A12" s="2" t="inlineStr">
        <is>
          <t>APBN</t>
        </is>
      </c>
      <c r="B12" s="3" t="inlineStr">
        <is>
          <t>Pakaian Dewasa</t>
        </is>
      </c>
      <c r="C12" s="2" t="inlineStr">
        <is>
          <t>Sandang</t>
        </is>
      </c>
      <c r="D12" s="4" t="n">
        <v>400</v>
      </c>
      <c r="E12" s="2" t="n"/>
      <c r="F12" s="5" t="n">
        <v>45690</v>
      </c>
      <c r="G12" s="6" t="inlineStr">
        <is>
          <t>BAST-2025-IN-0011</t>
        </is>
      </c>
      <c r="H12" s="4" t="n">
        <v>95000</v>
      </c>
      <c r="I12" s="4" t="n">
        <v>38000000</v>
      </c>
    </row>
    <row r="13" ht="20" customHeight="1">
      <c r="A13" s="7" t="inlineStr">
        <is>
          <t>APBD</t>
        </is>
      </c>
      <c r="B13" s="8" t="inlineStr">
        <is>
          <t>Air Mineral</t>
        </is>
      </c>
      <c r="C13" s="7" t="inlineStr">
        <is>
          <t>Pangan</t>
        </is>
      </c>
      <c r="D13" s="9" t="n">
        <v>1350</v>
      </c>
      <c r="E13" s="10" t="n">
        <v>46558</v>
      </c>
      <c r="F13" s="10" t="n">
        <v>45690</v>
      </c>
      <c r="G13" s="11" t="inlineStr">
        <is>
          <t>BAST-2025-IN-0012</t>
        </is>
      </c>
      <c r="H13" s="9" t="n">
        <v>30000</v>
      </c>
      <c r="I13" s="9" t="n">
        <v>40500000</v>
      </c>
    </row>
    <row r="14" ht="20" customHeight="1">
      <c r="A14" s="2" t="inlineStr">
        <is>
          <t>APBN</t>
        </is>
      </c>
      <c r="B14" s="3" t="inlineStr">
        <is>
          <t>Terpal</t>
        </is>
      </c>
      <c r="C14" s="2" t="inlineStr">
        <is>
          <t>Papan</t>
        </is>
      </c>
      <c r="D14" s="4" t="n">
        <v>450</v>
      </c>
      <c r="E14" s="2" t="n"/>
      <c r="F14" s="5" t="n">
        <v>45702</v>
      </c>
      <c r="G14" s="6" t="inlineStr">
        <is>
          <t>BAST-2025-IN-0013</t>
        </is>
      </c>
      <c r="H14" s="4" t="n">
        <v>150000</v>
      </c>
      <c r="I14" s="4" t="n">
        <v>67500000</v>
      </c>
    </row>
    <row r="15" ht="20" customHeight="1">
      <c r="A15" s="7" t="inlineStr">
        <is>
          <t>APBD</t>
        </is>
      </c>
      <c r="B15" s="8" t="inlineStr">
        <is>
          <t>Seng</t>
        </is>
      </c>
      <c r="C15" s="7" t="inlineStr">
        <is>
          <t>Papan</t>
        </is>
      </c>
      <c r="D15" s="9" t="n">
        <v>700</v>
      </c>
      <c r="E15" s="7" t="n"/>
      <c r="F15" s="10" t="n">
        <v>45704</v>
      </c>
      <c r="G15" s="11" t="inlineStr">
        <is>
          <t>BAST-2025-IN-0014</t>
        </is>
      </c>
      <c r="H15" s="9" t="n">
        <v>90000</v>
      </c>
      <c r="I15" s="9" t="n">
        <v>63000000</v>
      </c>
    </row>
    <row r="16" ht="20" customHeight="1">
      <c r="A16" s="2" t="inlineStr">
        <is>
          <t>APBN</t>
        </is>
      </c>
      <c r="B16" s="3" t="inlineStr">
        <is>
          <t>Seng</t>
        </is>
      </c>
      <c r="C16" s="2" t="inlineStr">
        <is>
          <t>Papan</t>
        </is>
      </c>
      <c r="D16" s="4" t="n">
        <v>1850</v>
      </c>
      <c r="E16" s="2" t="n"/>
      <c r="F16" s="5" t="n">
        <v>45706</v>
      </c>
      <c r="G16" s="6" t="inlineStr">
        <is>
          <t>BAST-2025-IN-0015</t>
        </is>
      </c>
      <c r="H16" s="4" t="n">
        <v>90000</v>
      </c>
      <c r="I16" s="4" t="n">
        <v>166500000</v>
      </c>
    </row>
    <row r="17" ht="20" customHeight="1">
      <c r="A17" s="7" t="inlineStr">
        <is>
          <t>CSR</t>
        </is>
      </c>
      <c r="B17" s="8" t="inlineStr">
        <is>
          <t>Pakaian Dewasa</t>
        </is>
      </c>
      <c r="C17" s="7" t="inlineStr">
        <is>
          <t>Sandang</t>
        </is>
      </c>
      <c r="D17" s="9" t="n">
        <v>400</v>
      </c>
      <c r="E17" s="7" t="n"/>
      <c r="F17" s="10" t="n">
        <v>45715</v>
      </c>
      <c r="G17" s="11" t="inlineStr">
        <is>
          <t>BAST-2025-IN-0016</t>
        </is>
      </c>
      <c r="H17" s="9" t="n">
        <v>95000</v>
      </c>
      <c r="I17" s="9" t="n">
        <v>38000000</v>
      </c>
    </row>
    <row r="18" ht="20" customHeight="1">
      <c r="A18" s="2" t="inlineStr">
        <is>
          <t>CSR</t>
        </is>
      </c>
      <c r="B18" s="3" t="inlineStr">
        <is>
          <t>Selimut</t>
        </is>
      </c>
      <c r="C18" s="2" t="inlineStr">
        <is>
          <t>Sandang</t>
        </is>
      </c>
      <c r="D18" s="4" t="n">
        <v>350</v>
      </c>
      <c r="E18" s="2" t="n"/>
      <c r="F18" s="5" t="n">
        <v>45717</v>
      </c>
      <c r="G18" s="6" t="inlineStr">
        <is>
          <t>BAST-2025-IN-0017</t>
        </is>
      </c>
      <c r="H18" s="4" t="n">
        <v>85000</v>
      </c>
      <c r="I18" s="4" t="n">
        <v>29750000</v>
      </c>
    </row>
    <row r="19" ht="20" customHeight="1">
      <c r="A19" s="7" t="inlineStr">
        <is>
          <t>APBN</t>
        </is>
      </c>
      <c r="B19" s="8" t="inlineStr">
        <is>
          <t>Beras</t>
        </is>
      </c>
      <c r="C19" s="7" t="inlineStr">
        <is>
          <t>Pangan</t>
        </is>
      </c>
      <c r="D19" s="9" t="n">
        <v>7650</v>
      </c>
      <c r="E19" s="10" t="n">
        <v>46384</v>
      </c>
      <c r="F19" s="10" t="n">
        <v>45723</v>
      </c>
      <c r="G19" s="11" t="inlineStr">
        <is>
          <t>BAST-2025-IN-0018</t>
        </is>
      </c>
      <c r="H19" s="9" t="n">
        <v>15000</v>
      </c>
      <c r="I19" s="9" t="n">
        <v>114750000</v>
      </c>
    </row>
    <row r="20" ht="20" customHeight="1">
      <c r="A20" s="2" t="inlineStr">
        <is>
          <t>APBN</t>
        </is>
      </c>
      <c r="B20" s="3" t="inlineStr">
        <is>
          <t>Beras</t>
        </is>
      </c>
      <c r="C20" s="2" t="inlineStr">
        <is>
          <t>Pangan</t>
        </is>
      </c>
      <c r="D20" s="4" t="n">
        <v>7200</v>
      </c>
      <c r="E20" s="5" t="n">
        <v>46411</v>
      </c>
      <c r="F20" s="5" t="n">
        <v>45723</v>
      </c>
      <c r="G20" s="6" t="inlineStr">
        <is>
          <t>BAST-2025-IN-0019</t>
        </is>
      </c>
      <c r="H20" s="4" t="n">
        <v>15000</v>
      </c>
      <c r="I20" s="4" t="n">
        <v>108000000</v>
      </c>
    </row>
    <row r="21" ht="20" customHeight="1">
      <c r="A21" s="7" t="inlineStr">
        <is>
          <t>APBD</t>
        </is>
      </c>
      <c r="B21" s="8" t="inlineStr">
        <is>
          <t>Terpal</t>
        </is>
      </c>
      <c r="C21" s="7" t="inlineStr">
        <is>
          <t>Papan</t>
        </is>
      </c>
      <c r="D21" s="9" t="n">
        <v>1050</v>
      </c>
      <c r="E21" s="7" t="n"/>
      <c r="F21" s="10" t="n">
        <v>45725</v>
      </c>
      <c r="G21" s="11" t="inlineStr">
        <is>
          <t>BAST-2025-IN-0020</t>
        </is>
      </c>
      <c r="H21" s="9" t="n">
        <v>150000</v>
      </c>
      <c r="I21" s="9" t="n">
        <v>157500000</v>
      </c>
    </row>
    <row r="22" ht="20" customHeight="1">
      <c r="A22" s="2" t="inlineStr">
        <is>
          <t>APBN</t>
        </is>
      </c>
      <c r="B22" s="3" t="inlineStr">
        <is>
          <t>Makanan Siap Saji</t>
        </is>
      </c>
      <c r="C22" s="2" t="inlineStr">
        <is>
          <t>Pangan</t>
        </is>
      </c>
      <c r="D22" s="4" t="n">
        <v>2900</v>
      </c>
      <c r="E22" s="5" t="n">
        <v>46267</v>
      </c>
      <c r="F22" s="5" t="n">
        <v>45728</v>
      </c>
      <c r="G22" s="6" t="inlineStr">
        <is>
          <t>BAST-2025-IN-0021</t>
        </is>
      </c>
      <c r="H22" s="4" t="n">
        <v>45000</v>
      </c>
      <c r="I22" s="4" t="n">
        <v>130500000</v>
      </c>
    </row>
    <row r="23" ht="20" customHeight="1">
      <c r="A23" s="7" t="inlineStr">
        <is>
          <t>APBD</t>
        </is>
      </c>
      <c r="B23" s="8" t="inlineStr">
        <is>
          <t>Matras</t>
        </is>
      </c>
      <c r="C23" s="7" t="inlineStr">
        <is>
          <t>Sandang</t>
        </is>
      </c>
      <c r="D23" s="9" t="n">
        <v>250</v>
      </c>
      <c r="E23" s="7" t="n"/>
      <c r="F23" s="10" t="n">
        <v>45729</v>
      </c>
      <c r="G23" s="11" t="inlineStr">
        <is>
          <t>BAST-2025-IN-0022</t>
        </is>
      </c>
      <c r="H23" s="9" t="n">
        <v>120000</v>
      </c>
      <c r="I23" s="9" t="n">
        <v>30000000</v>
      </c>
    </row>
    <row r="24" ht="20" customHeight="1">
      <c r="A24" s="2" t="inlineStr">
        <is>
          <t>CSR</t>
        </is>
      </c>
      <c r="B24" s="3" t="inlineStr">
        <is>
          <t>Perahu Karet</t>
        </is>
      </c>
      <c r="C24" s="2" t="inlineStr">
        <is>
          <t>Logistik Lainnya</t>
        </is>
      </c>
      <c r="D24" s="4" t="n">
        <v>18</v>
      </c>
      <c r="E24" s="2" t="n"/>
      <c r="F24" s="5" t="n">
        <v>45731</v>
      </c>
      <c r="G24" s="6" t="inlineStr">
        <is>
          <t>BAST-2025-IN-0023</t>
        </is>
      </c>
      <c r="H24" s="4" t="n">
        <v>35000000</v>
      </c>
      <c r="I24" s="4" t="n">
        <v>630000000</v>
      </c>
    </row>
    <row r="25" ht="20" customHeight="1">
      <c r="A25" s="7" t="inlineStr">
        <is>
          <t>CSR</t>
        </is>
      </c>
      <c r="B25" s="8" t="inlineStr">
        <is>
          <t>Beras</t>
        </is>
      </c>
      <c r="C25" s="7" t="inlineStr">
        <is>
          <t>Pangan</t>
        </is>
      </c>
      <c r="D25" s="9" t="n">
        <v>1900</v>
      </c>
      <c r="E25" s="7" t="n"/>
      <c r="F25" s="10" t="n">
        <v>45738</v>
      </c>
      <c r="G25" s="11" t="inlineStr">
        <is>
          <t>BAST-2025-IN-0024</t>
        </is>
      </c>
      <c r="H25" s="9" t="n">
        <v>15000</v>
      </c>
      <c r="I25" s="9" t="n">
        <v>28500000</v>
      </c>
    </row>
    <row r="26" ht="20" customHeight="1">
      <c r="A26" s="2" t="inlineStr">
        <is>
          <t>APBN</t>
        </is>
      </c>
      <c r="B26" s="3" t="inlineStr">
        <is>
          <t>Beras</t>
        </is>
      </c>
      <c r="C26" s="2" t="inlineStr">
        <is>
          <t>Pangan</t>
        </is>
      </c>
      <c r="D26" s="4" t="n">
        <v>2100</v>
      </c>
      <c r="E26" s="5" t="n">
        <v>46314</v>
      </c>
      <c r="F26" s="5" t="n">
        <v>45738</v>
      </c>
      <c r="G26" s="6" t="inlineStr">
        <is>
          <t>BAST-2025-IN-0025</t>
        </is>
      </c>
      <c r="H26" s="4" t="n">
        <v>15000</v>
      </c>
      <c r="I26" s="4" t="n">
        <v>31500000</v>
      </c>
    </row>
    <row r="27" ht="20" customHeight="1">
      <c r="A27" s="7" t="inlineStr">
        <is>
          <t>APBD</t>
        </is>
      </c>
      <c r="B27" s="8" t="inlineStr">
        <is>
          <t>Pakaian Dewasa</t>
        </is>
      </c>
      <c r="C27" s="7" t="inlineStr">
        <is>
          <t>Sandang</t>
        </is>
      </c>
      <c r="D27" s="9" t="n">
        <v>1200</v>
      </c>
      <c r="E27" s="7" t="n"/>
      <c r="F27" s="10" t="n">
        <v>45739</v>
      </c>
      <c r="G27" s="11" t="inlineStr">
        <is>
          <t>BAST-2025-IN-0026</t>
        </is>
      </c>
      <c r="H27" s="9" t="n">
        <v>95000</v>
      </c>
      <c r="I27" s="9" t="n">
        <v>114000000</v>
      </c>
    </row>
    <row r="28" ht="20" customHeight="1">
      <c r="A28" s="2" t="inlineStr">
        <is>
          <t>CSR</t>
        </is>
      </c>
      <c r="B28" s="3" t="inlineStr">
        <is>
          <t>Sanitasi Kit</t>
        </is>
      </c>
      <c r="C28" s="2" t="inlineStr">
        <is>
          <t>Logistik Lainnya</t>
        </is>
      </c>
      <c r="D28" s="4" t="n">
        <v>150</v>
      </c>
      <c r="E28" s="5" t="n">
        <v>46468</v>
      </c>
      <c r="F28" s="5" t="n">
        <v>45745</v>
      </c>
      <c r="G28" s="6" t="inlineStr">
        <is>
          <t>BAST-2025-IN-0027</t>
        </is>
      </c>
      <c r="H28" s="4" t="n">
        <v>250000</v>
      </c>
      <c r="I28" s="4" t="n">
        <v>37500000</v>
      </c>
    </row>
    <row r="29" ht="20" customHeight="1">
      <c r="A29" s="7" t="inlineStr">
        <is>
          <t>APBD</t>
        </is>
      </c>
      <c r="B29" s="8" t="inlineStr">
        <is>
          <t>Biskuit</t>
        </is>
      </c>
      <c r="C29" s="7" t="inlineStr">
        <is>
          <t>Pangan</t>
        </is>
      </c>
      <c r="D29" s="9" t="n">
        <v>1100</v>
      </c>
      <c r="E29" s="7" t="n"/>
      <c r="F29" s="10" t="n">
        <v>45747</v>
      </c>
      <c r="G29" s="11" t="inlineStr">
        <is>
          <t>BAST-2025-IN-0028</t>
        </is>
      </c>
      <c r="H29" s="9" t="n">
        <v>25000</v>
      </c>
      <c r="I29" s="9" t="n">
        <v>27500000</v>
      </c>
    </row>
    <row r="30" ht="20" customHeight="1">
      <c r="A30" s="2" t="inlineStr">
        <is>
          <t>APBD</t>
        </is>
      </c>
      <c r="B30" s="3" t="inlineStr">
        <is>
          <t>Susu Formula</t>
        </is>
      </c>
      <c r="C30" s="2" t="inlineStr">
        <is>
          <t>Pangan</t>
        </is>
      </c>
      <c r="D30" s="4" t="n">
        <v>600</v>
      </c>
      <c r="E30" s="5" t="n">
        <v>46177</v>
      </c>
      <c r="F30" s="5" t="n">
        <v>45751</v>
      </c>
      <c r="G30" s="6" t="inlineStr">
        <is>
          <t>BAST-2025-IN-0029</t>
        </is>
      </c>
      <c r="H30" s="4" t="n">
        <v>65000</v>
      </c>
      <c r="I30" s="4" t="n">
        <v>39000000</v>
      </c>
    </row>
    <row r="31" ht="20" customHeight="1">
      <c r="A31" s="7" t="inlineStr">
        <is>
          <t>APBD</t>
        </is>
      </c>
      <c r="B31" s="8" t="inlineStr">
        <is>
          <t>Air Mineral</t>
        </is>
      </c>
      <c r="C31" s="7" t="inlineStr">
        <is>
          <t>Pangan</t>
        </is>
      </c>
      <c r="D31" s="9" t="n">
        <v>1050</v>
      </c>
      <c r="E31" s="10" t="n">
        <v>46442</v>
      </c>
      <c r="F31" s="10" t="n">
        <v>45752</v>
      </c>
      <c r="G31" s="11" t="inlineStr">
        <is>
          <t>BAST-2025-IN-0030</t>
        </is>
      </c>
      <c r="H31" s="9" t="n">
        <v>30000</v>
      </c>
      <c r="I31" s="9" t="n">
        <v>31500000</v>
      </c>
    </row>
    <row r="32" ht="20" customHeight="1">
      <c r="A32" s="2" t="inlineStr">
        <is>
          <t>APBN</t>
        </is>
      </c>
      <c r="B32" s="3" t="inlineStr">
        <is>
          <t>Chainsaw</t>
        </is>
      </c>
      <c r="C32" s="2" t="inlineStr">
        <is>
          <t>Logistik Lainnya</t>
        </is>
      </c>
      <c r="D32" s="4" t="n">
        <v>18</v>
      </c>
      <c r="E32" s="2" t="n"/>
      <c r="F32" s="5" t="n">
        <v>45753</v>
      </c>
      <c r="G32" s="6" t="inlineStr">
        <is>
          <t>BAST-2025-IN-0031</t>
        </is>
      </c>
      <c r="H32" s="4" t="n">
        <v>4500000</v>
      </c>
      <c r="I32" s="4" t="n">
        <v>81000000</v>
      </c>
    </row>
    <row r="33" ht="20" customHeight="1">
      <c r="A33" s="7" t="inlineStr">
        <is>
          <t>CSR</t>
        </is>
      </c>
      <c r="B33" s="8" t="inlineStr">
        <is>
          <t>Biskuit</t>
        </is>
      </c>
      <c r="C33" s="7" t="inlineStr">
        <is>
          <t>Pangan</t>
        </is>
      </c>
      <c r="D33" s="9" t="n">
        <v>800</v>
      </c>
      <c r="E33" s="7" t="n"/>
      <c r="F33" s="10" t="n">
        <v>45757</v>
      </c>
      <c r="G33" s="11" t="inlineStr">
        <is>
          <t>BAST-2025-IN-0032</t>
        </is>
      </c>
      <c r="H33" s="9" t="n">
        <v>25000</v>
      </c>
      <c r="I33" s="9" t="n">
        <v>20000000</v>
      </c>
    </row>
    <row r="34" ht="20" customHeight="1">
      <c r="A34" s="2" t="inlineStr">
        <is>
          <t>APBN</t>
        </is>
      </c>
      <c r="B34" s="3" t="inlineStr">
        <is>
          <t>Susu Formula</t>
        </is>
      </c>
      <c r="C34" s="2" t="inlineStr">
        <is>
          <t>Pangan</t>
        </is>
      </c>
      <c r="D34" s="4" t="n">
        <v>850</v>
      </c>
      <c r="E34" s="5" t="n">
        <v>46188</v>
      </c>
      <c r="F34" s="5" t="n">
        <v>45761</v>
      </c>
      <c r="G34" s="6" t="inlineStr">
        <is>
          <t>BAST-2025-IN-0033</t>
        </is>
      </c>
      <c r="H34" s="4" t="n">
        <v>65000</v>
      </c>
      <c r="I34" s="4" t="n">
        <v>55250000</v>
      </c>
    </row>
    <row r="35" ht="20" customHeight="1">
      <c r="A35" s="7" t="inlineStr">
        <is>
          <t>CSR</t>
        </is>
      </c>
      <c r="B35" s="8" t="inlineStr">
        <is>
          <t>Genset</t>
        </is>
      </c>
      <c r="C35" s="7" t="inlineStr">
        <is>
          <t>Logistik Lainnya</t>
        </is>
      </c>
      <c r="D35" s="9" t="n">
        <v>5</v>
      </c>
      <c r="E35" s="7" t="n"/>
      <c r="F35" s="10" t="n">
        <v>45762</v>
      </c>
      <c r="G35" s="11" t="inlineStr">
        <is>
          <t>BAST-2025-IN-0034</t>
        </is>
      </c>
      <c r="H35" s="9" t="n">
        <v>12500000</v>
      </c>
      <c r="I35" s="9" t="n">
        <v>62500000</v>
      </c>
    </row>
    <row r="36" ht="20" customHeight="1">
      <c r="A36" s="2" t="inlineStr">
        <is>
          <t>CSR</t>
        </is>
      </c>
      <c r="B36" s="3" t="inlineStr">
        <is>
          <t>Lauk Pauk</t>
        </is>
      </c>
      <c r="C36" s="2" t="inlineStr">
        <is>
          <t>Pangan</t>
        </is>
      </c>
      <c r="D36" s="4" t="n">
        <v>1200</v>
      </c>
      <c r="E36" s="2" t="n"/>
      <c r="F36" s="5" t="n">
        <v>45762</v>
      </c>
      <c r="G36" s="6" t="inlineStr">
        <is>
          <t>BAST-2025-IN-0035</t>
        </is>
      </c>
      <c r="H36" s="4" t="n">
        <v>35000</v>
      </c>
      <c r="I36" s="4" t="n">
        <v>42000000</v>
      </c>
    </row>
    <row r="37" ht="20" customHeight="1">
      <c r="A37" s="7" t="inlineStr">
        <is>
          <t>APBN</t>
        </is>
      </c>
      <c r="B37" s="8" t="inlineStr">
        <is>
          <t>Biskuit</t>
        </is>
      </c>
      <c r="C37" s="7" t="inlineStr">
        <is>
          <t>Pangan</t>
        </is>
      </c>
      <c r="D37" s="9" t="n">
        <v>750</v>
      </c>
      <c r="E37" s="7" t="n"/>
      <c r="F37" s="10" t="n">
        <v>45766</v>
      </c>
      <c r="G37" s="11" t="inlineStr">
        <is>
          <t>BAST-2025-IN-0036</t>
        </is>
      </c>
      <c r="H37" s="9" t="n">
        <v>25000</v>
      </c>
      <c r="I37" s="9" t="n">
        <v>18750000</v>
      </c>
    </row>
    <row r="38" ht="20" customHeight="1">
      <c r="A38" s="2" t="inlineStr">
        <is>
          <t>CSR</t>
        </is>
      </c>
      <c r="B38" s="3" t="inlineStr">
        <is>
          <t>Pakaian Anak</t>
        </is>
      </c>
      <c r="C38" s="2" t="inlineStr">
        <is>
          <t>Sandang</t>
        </is>
      </c>
      <c r="D38" s="4" t="n">
        <v>700</v>
      </c>
      <c r="E38" s="2" t="n"/>
      <c r="F38" s="5" t="n">
        <v>45770</v>
      </c>
      <c r="G38" s="6" t="inlineStr">
        <is>
          <t>BAST-2025-IN-0037</t>
        </is>
      </c>
      <c r="H38" s="4" t="n">
        <v>75000</v>
      </c>
      <c r="I38" s="4" t="n">
        <v>52500000</v>
      </c>
    </row>
    <row r="39" ht="20" customHeight="1">
      <c r="A39" s="7" t="inlineStr">
        <is>
          <t>APBD</t>
        </is>
      </c>
      <c r="B39" s="8" t="inlineStr">
        <is>
          <t>Sanitasi Kit</t>
        </is>
      </c>
      <c r="C39" s="7" t="inlineStr">
        <is>
          <t>Logistik Lainnya</t>
        </is>
      </c>
      <c r="D39" s="9" t="n">
        <v>500</v>
      </c>
      <c r="E39" s="7" t="n"/>
      <c r="F39" s="10" t="n">
        <v>45772</v>
      </c>
      <c r="G39" s="11" t="inlineStr">
        <is>
          <t>BAST-2025-IN-0038</t>
        </is>
      </c>
      <c r="H39" s="9" t="n">
        <v>250000</v>
      </c>
      <c r="I39" s="9" t="n">
        <v>125000000</v>
      </c>
    </row>
    <row r="40" ht="20" customHeight="1">
      <c r="A40" s="2" t="inlineStr">
        <is>
          <t>APBN</t>
        </is>
      </c>
      <c r="B40" s="3" t="inlineStr">
        <is>
          <t>Biskuit</t>
        </is>
      </c>
      <c r="C40" s="2" t="inlineStr">
        <is>
          <t>Pangan</t>
        </is>
      </c>
      <c r="D40" s="4" t="n">
        <v>2350</v>
      </c>
      <c r="E40" s="5" t="n">
        <v>46162</v>
      </c>
      <c r="F40" s="5" t="n">
        <v>45772</v>
      </c>
      <c r="G40" s="6" t="inlineStr">
        <is>
          <t>BAST-2025-IN-0039</t>
        </is>
      </c>
      <c r="H40" s="4" t="n">
        <v>25000</v>
      </c>
      <c r="I40" s="4" t="n">
        <v>58750000</v>
      </c>
    </row>
    <row r="41" ht="20" customHeight="1">
      <c r="A41" s="7" t="inlineStr">
        <is>
          <t>APBN</t>
        </is>
      </c>
      <c r="B41" s="8" t="inlineStr">
        <is>
          <t>Terpal</t>
        </is>
      </c>
      <c r="C41" s="7" t="inlineStr">
        <is>
          <t>Papan</t>
        </is>
      </c>
      <c r="D41" s="9" t="n">
        <v>650</v>
      </c>
      <c r="E41" s="7" t="n"/>
      <c r="F41" s="10" t="n">
        <v>45772</v>
      </c>
      <c r="G41" s="11" t="inlineStr">
        <is>
          <t>BAST-2025-IN-0040</t>
        </is>
      </c>
      <c r="H41" s="9" t="n">
        <v>150000</v>
      </c>
      <c r="I41" s="9" t="n">
        <v>97500000</v>
      </c>
    </row>
    <row r="42" ht="20" customHeight="1">
      <c r="A42" s="2" t="inlineStr">
        <is>
          <t>APBN</t>
        </is>
      </c>
      <c r="B42" s="3" t="inlineStr">
        <is>
          <t>Selimut</t>
        </is>
      </c>
      <c r="C42" s="2" t="inlineStr">
        <is>
          <t>Sandang</t>
        </is>
      </c>
      <c r="D42" s="4" t="n">
        <v>850</v>
      </c>
      <c r="E42" s="2" t="n"/>
      <c r="F42" s="5" t="n">
        <v>45775</v>
      </c>
      <c r="G42" s="6" t="inlineStr">
        <is>
          <t>BAST-2025-IN-0041</t>
        </is>
      </c>
      <c r="H42" s="4" t="n">
        <v>85000</v>
      </c>
      <c r="I42" s="4" t="n">
        <v>72250000</v>
      </c>
    </row>
    <row r="43" ht="20" customHeight="1">
      <c r="A43" s="7" t="inlineStr">
        <is>
          <t>APBN</t>
        </is>
      </c>
      <c r="B43" s="8" t="inlineStr">
        <is>
          <t>Biskuit</t>
        </is>
      </c>
      <c r="C43" s="7" t="inlineStr">
        <is>
          <t>Pangan</t>
        </is>
      </c>
      <c r="D43" s="9" t="n">
        <v>950</v>
      </c>
      <c r="E43" s="7" t="n"/>
      <c r="F43" s="10" t="n">
        <v>45781</v>
      </c>
      <c r="G43" s="11" t="inlineStr">
        <is>
          <t>BAST-2025-IN-0042</t>
        </is>
      </c>
      <c r="H43" s="9" t="n">
        <v>25000</v>
      </c>
      <c r="I43" s="9" t="n">
        <v>23750000</v>
      </c>
    </row>
    <row r="44" ht="20" customHeight="1">
      <c r="A44" s="2" t="inlineStr">
        <is>
          <t>CSR</t>
        </is>
      </c>
      <c r="B44" s="3" t="inlineStr">
        <is>
          <t>Terpal</t>
        </is>
      </c>
      <c r="C44" s="2" t="inlineStr">
        <is>
          <t>Papan</t>
        </is>
      </c>
      <c r="D44" s="4" t="n">
        <v>100</v>
      </c>
      <c r="E44" s="2" t="n"/>
      <c r="F44" s="5" t="n">
        <v>45785</v>
      </c>
      <c r="G44" s="6" t="inlineStr">
        <is>
          <t>BAST-2025-IN-0043</t>
        </is>
      </c>
      <c r="H44" s="4" t="n">
        <v>150000</v>
      </c>
      <c r="I44" s="4" t="n">
        <v>15000000</v>
      </c>
    </row>
    <row r="45" ht="20" customHeight="1">
      <c r="A45" s="7" t="inlineStr">
        <is>
          <t>APBN</t>
        </is>
      </c>
      <c r="B45" s="8" t="inlineStr">
        <is>
          <t>Sarung</t>
        </is>
      </c>
      <c r="C45" s="7" t="inlineStr">
        <is>
          <t>Sandang</t>
        </is>
      </c>
      <c r="D45" s="9" t="n">
        <v>800</v>
      </c>
      <c r="E45" s="7" t="n"/>
      <c r="F45" s="10" t="n">
        <v>45786</v>
      </c>
      <c r="G45" s="11" t="inlineStr">
        <is>
          <t>BAST-2025-IN-0044</t>
        </is>
      </c>
      <c r="H45" s="9" t="n">
        <v>60000</v>
      </c>
      <c r="I45" s="9" t="n">
        <v>48000000</v>
      </c>
    </row>
    <row r="46" ht="20" customHeight="1">
      <c r="A46" s="2" t="inlineStr">
        <is>
          <t>APBN</t>
        </is>
      </c>
      <c r="B46" s="3" t="inlineStr">
        <is>
          <t>Chainsaw</t>
        </is>
      </c>
      <c r="C46" s="2" t="inlineStr">
        <is>
          <t>Logistik Lainnya</t>
        </is>
      </c>
      <c r="D46" s="4" t="n">
        <v>7</v>
      </c>
      <c r="E46" s="2" t="n"/>
      <c r="F46" s="5" t="n">
        <v>45789</v>
      </c>
      <c r="G46" s="6" t="inlineStr">
        <is>
          <t>BAST-2025-IN-0045</t>
        </is>
      </c>
      <c r="H46" s="4" t="n">
        <v>4500000</v>
      </c>
      <c r="I46" s="4" t="n">
        <v>31500000</v>
      </c>
    </row>
    <row r="47" ht="20" customHeight="1">
      <c r="A47" s="7" t="inlineStr">
        <is>
          <t>APBD</t>
        </is>
      </c>
      <c r="B47" s="8" t="inlineStr">
        <is>
          <t>Family Kit</t>
        </is>
      </c>
      <c r="C47" s="7" t="inlineStr">
        <is>
          <t>Logistik Lainnya</t>
        </is>
      </c>
      <c r="D47" s="9" t="n">
        <v>1200</v>
      </c>
      <c r="E47" s="7" t="n"/>
      <c r="F47" s="10" t="n">
        <v>45799</v>
      </c>
      <c r="G47" s="11" t="inlineStr">
        <is>
          <t>BAST-2025-IN-0046</t>
        </is>
      </c>
      <c r="H47" s="9" t="n">
        <v>350000</v>
      </c>
      <c r="I47" s="9" t="n">
        <v>420000000</v>
      </c>
    </row>
    <row r="48" ht="20" customHeight="1">
      <c r="A48" s="2" t="inlineStr">
        <is>
          <t>APBN</t>
        </is>
      </c>
      <c r="B48" s="3" t="inlineStr">
        <is>
          <t>Terpal</t>
        </is>
      </c>
      <c r="C48" s="2" t="inlineStr">
        <is>
          <t>Papan</t>
        </is>
      </c>
      <c r="D48" s="4" t="n">
        <v>350</v>
      </c>
      <c r="E48" s="2" t="n"/>
      <c r="F48" s="5" t="n">
        <v>45800</v>
      </c>
      <c r="G48" s="6" t="inlineStr">
        <is>
          <t>BAST-2025-IN-0047</t>
        </is>
      </c>
      <c r="H48" s="4" t="n">
        <v>150000</v>
      </c>
      <c r="I48" s="4" t="n">
        <v>52500000</v>
      </c>
    </row>
    <row r="49" ht="20" customHeight="1">
      <c r="A49" s="7" t="inlineStr">
        <is>
          <t>APBN</t>
        </is>
      </c>
      <c r="B49" s="8" t="inlineStr">
        <is>
          <t>Lauk Pauk</t>
        </is>
      </c>
      <c r="C49" s="7" t="inlineStr">
        <is>
          <t>Pangan</t>
        </is>
      </c>
      <c r="D49" s="9" t="n">
        <v>3350</v>
      </c>
      <c r="E49" s="7" t="n"/>
      <c r="F49" s="10" t="n">
        <v>45800</v>
      </c>
      <c r="G49" s="11" t="inlineStr">
        <is>
          <t>BAST-2025-IN-0048</t>
        </is>
      </c>
      <c r="H49" s="9" t="n">
        <v>35000</v>
      </c>
      <c r="I49" s="9" t="n">
        <v>117250000</v>
      </c>
    </row>
    <row r="50" ht="20" customHeight="1">
      <c r="A50" s="2" t="inlineStr">
        <is>
          <t>APBN</t>
        </is>
      </c>
      <c r="B50" s="3" t="inlineStr">
        <is>
          <t>Tenda Pengungsi</t>
        </is>
      </c>
      <c r="C50" s="2" t="inlineStr">
        <is>
          <t>Papan</t>
        </is>
      </c>
      <c r="D50" s="4" t="n">
        <v>60</v>
      </c>
      <c r="E50" s="2" t="n"/>
      <c r="F50" s="5" t="n">
        <v>45804</v>
      </c>
      <c r="G50" s="6" t="inlineStr">
        <is>
          <t>BAST-2025-IN-0049</t>
        </is>
      </c>
      <c r="H50" s="4" t="n">
        <v>8500000</v>
      </c>
      <c r="I50" s="4" t="n">
        <v>510000000</v>
      </c>
    </row>
    <row r="51" ht="20" customHeight="1">
      <c r="A51" s="7" t="inlineStr">
        <is>
          <t>APBN</t>
        </is>
      </c>
      <c r="B51" s="8" t="inlineStr">
        <is>
          <t>Pakaian Dewasa</t>
        </is>
      </c>
      <c r="C51" s="7" t="inlineStr">
        <is>
          <t>Sandang</t>
        </is>
      </c>
      <c r="D51" s="9" t="n">
        <v>1600</v>
      </c>
      <c r="E51" s="7" t="n"/>
      <c r="F51" s="10" t="n">
        <v>45814</v>
      </c>
      <c r="G51" s="11" t="inlineStr">
        <is>
          <t>BAST-2025-IN-0050</t>
        </is>
      </c>
      <c r="H51" s="9" t="n">
        <v>95000</v>
      </c>
      <c r="I51" s="9" t="n">
        <v>152000000</v>
      </c>
    </row>
    <row r="52" ht="20" customHeight="1">
      <c r="A52" s="2" t="inlineStr">
        <is>
          <t>CSR</t>
        </is>
      </c>
      <c r="B52" s="3" t="inlineStr">
        <is>
          <t>Terpal</t>
        </is>
      </c>
      <c r="C52" s="2" t="inlineStr">
        <is>
          <t>Papan</t>
        </is>
      </c>
      <c r="D52" s="4" t="n">
        <v>400</v>
      </c>
      <c r="E52" s="2" t="n"/>
      <c r="F52" s="5" t="n">
        <v>45814</v>
      </c>
      <c r="G52" s="6" t="inlineStr">
        <is>
          <t>BAST-2025-IN-0051</t>
        </is>
      </c>
      <c r="H52" s="4" t="n">
        <v>150000</v>
      </c>
      <c r="I52" s="4" t="n">
        <v>60000000</v>
      </c>
    </row>
    <row r="53" ht="20" customHeight="1">
      <c r="A53" s="7" t="inlineStr">
        <is>
          <t>APBN</t>
        </is>
      </c>
      <c r="B53" s="8" t="inlineStr">
        <is>
          <t>Beras</t>
        </is>
      </c>
      <c r="C53" s="7" t="inlineStr">
        <is>
          <t>Pangan</t>
        </is>
      </c>
      <c r="D53" s="9" t="n">
        <v>14100</v>
      </c>
      <c r="E53" s="7" t="n"/>
      <c r="F53" s="10" t="n">
        <v>45817</v>
      </c>
      <c r="G53" s="11" t="inlineStr">
        <is>
          <t>BAST-2025-IN-0052</t>
        </is>
      </c>
      <c r="H53" s="9" t="n">
        <v>15000</v>
      </c>
      <c r="I53" s="9" t="n">
        <v>211500000</v>
      </c>
    </row>
    <row r="54" ht="20" customHeight="1">
      <c r="A54" s="2" t="inlineStr">
        <is>
          <t>APBD</t>
        </is>
      </c>
      <c r="B54" s="3" t="inlineStr">
        <is>
          <t>Selimut</t>
        </is>
      </c>
      <c r="C54" s="2" t="inlineStr">
        <is>
          <t>Sandang</t>
        </is>
      </c>
      <c r="D54" s="4" t="n">
        <v>550</v>
      </c>
      <c r="E54" s="2" t="n"/>
      <c r="F54" s="5" t="n">
        <v>45819</v>
      </c>
      <c r="G54" s="6" t="inlineStr">
        <is>
          <t>BAST-2025-IN-0053</t>
        </is>
      </c>
      <c r="H54" s="4" t="n">
        <v>85000</v>
      </c>
      <c r="I54" s="4" t="n">
        <v>46750000</v>
      </c>
    </row>
    <row r="55" ht="20" customHeight="1">
      <c r="A55" s="7" t="inlineStr">
        <is>
          <t>APBD</t>
        </is>
      </c>
      <c r="B55" s="8" t="inlineStr">
        <is>
          <t>Terpal</t>
        </is>
      </c>
      <c r="C55" s="7" t="inlineStr">
        <is>
          <t>Papan</t>
        </is>
      </c>
      <c r="D55" s="9" t="n">
        <v>600</v>
      </c>
      <c r="E55" s="7" t="n"/>
      <c r="F55" s="10" t="n">
        <v>45821</v>
      </c>
      <c r="G55" s="11" t="inlineStr">
        <is>
          <t>BAST-2025-IN-0054</t>
        </is>
      </c>
      <c r="H55" s="9" t="n">
        <v>150000</v>
      </c>
      <c r="I55" s="9" t="n">
        <v>90000000</v>
      </c>
    </row>
    <row r="56" ht="20" customHeight="1">
      <c r="A56" s="2" t="inlineStr">
        <is>
          <t>APBD</t>
        </is>
      </c>
      <c r="B56" s="3" t="inlineStr">
        <is>
          <t>Beras</t>
        </is>
      </c>
      <c r="C56" s="2" t="inlineStr">
        <is>
          <t>Pangan</t>
        </is>
      </c>
      <c r="D56" s="4" t="n">
        <v>13900</v>
      </c>
      <c r="E56" s="2" t="n"/>
      <c r="F56" s="5" t="n">
        <v>45821</v>
      </c>
      <c r="G56" s="6" t="inlineStr">
        <is>
          <t>BAST-2025-IN-0055</t>
        </is>
      </c>
      <c r="H56" s="4" t="n">
        <v>15000</v>
      </c>
      <c r="I56" s="4" t="n">
        <v>208500000</v>
      </c>
    </row>
    <row r="57" ht="20" customHeight="1">
      <c r="A57" s="7" t="inlineStr">
        <is>
          <t>APBD</t>
        </is>
      </c>
      <c r="B57" s="8" t="inlineStr">
        <is>
          <t>Matras</t>
        </is>
      </c>
      <c r="C57" s="7" t="inlineStr">
        <is>
          <t>Sandang</t>
        </is>
      </c>
      <c r="D57" s="9" t="n">
        <v>1100</v>
      </c>
      <c r="E57" s="7" t="n"/>
      <c r="F57" s="10" t="n">
        <v>45823</v>
      </c>
      <c r="G57" s="11" t="inlineStr">
        <is>
          <t>BAST-2025-IN-0056</t>
        </is>
      </c>
      <c r="H57" s="9" t="n">
        <v>120000</v>
      </c>
      <c r="I57" s="9" t="n">
        <v>132000000</v>
      </c>
    </row>
    <row r="58" ht="20" customHeight="1">
      <c r="A58" s="2" t="inlineStr">
        <is>
          <t>APBN</t>
        </is>
      </c>
      <c r="B58" s="3" t="inlineStr">
        <is>
          <t>Makanan Siap Saji</t>
        </is>
      </c>
      <c r="C58" s="2" t="inlineStr">
        <is>
          <t>Pangan</t>
        </is>
      </c>
      <c r="D58" s="4" t="n">
        <v>4250</v>
      </c>
      <c r="E58" s="5" t="n">
        <v>46274</v>
      </c>
      <c r="F58" s="5" t="n">
        <v>45824</v>
      </c>
      <c r="G58" s="6" t="inlineStr">
        <is>
          <t>BAST-2025-IN-0057</t>
        </is>
      </c>
      <c r="H58" s="4" t="n">
        <v>45000</v>
      </c>
      <c r="I58" s="4" t="n">
        <v>191250000</v>
      </c>
    </row>
    <row r="59" ht="20" customHeight="1">
      <c r="A59" s="7" t="inlineStr">
        <is>
          <t>APBN</t>
        </is>
      </c>
      <c r="B59" s="8" t="inlineStr">
        <is>
          <t>Selimut</t>
        </is>
      </c>
      <c r="C59" s="7" t="inlineStr">
        <is>
          <t>Sandang</t>
        </is>
      </c>
      <c r="D59" s="9" t="n">
        <v>1550</v>
      </c>
      <c r="E59" s="7" t="n"/>
      <c r="F59" s="10" t="n">
        <v>45825</v>
      </c>
      <c r="G59" s="11" t="inlineStr">
        <is>
          <t>BAST-2025-IN-0058</t>
        </is>
      </c>
      <c r="H59" s="9" t="n">
        <v>85000</v>
      </c>
      <c r="I59" s="9" t="n">
        <v>131750000</v>
      </c>
    </row>
    <row r="60" ht="20" customHeight="1">
      <c r="A60" s="2" t="inlineStr">
        <is>
          <t>APBN</t>
        </is>
      </c>
      <c r="B60" s="3" t="inlineStr">
        <is>
          <t>Tenda Keluarga</t>
        </is>
      </c>
      <c r="C60" s="2" t="inlineStr">
        <is>
          <t>Papan</t>
        </is>
      </c>
      <c r="D60" s="4" t="n">
        <v>100</v>
      </c>
      <c r="E60" s="2" t="n"/>
      <c r="F60" s="5" t="n">
        <v>45827</v>
      </c>
      <c r="G60" s="6" t="inlineStr">
        <is>
          <t>BAST-2025-IN-0059</t>
        </is>
      </c>
      <c r="H60" s="4" t="n">
        <v>3200000</v>
      </c>
      <c r="I60" s="4" t="n">
        <v>320000000</v>
      </c>
    </row>
    <row r="61" ht="20" customHeight="1">
      <c r="A61" s="7" t="inlineStr">
        <is>
          <t>APBD</t>
        </is>
      </c>
      <c r="B61" s="8" t="inlineStr">
        <is>
          <t>Sarung</t>
        </is>
      </c>
      <c r="C61" s="7" t="inlineStr">
        <is>
          <t>Sandang</t>
        </is>
      </c>
      <c r="D61" s="9" t="n">
        <v>850</v>
      </c>
      <c r="E61" s="7" t="n"/>
      <c r="F61" s="10" t="n">
        <v>45833</v>
      </c>
      <c r="G61" s="11" t="inlineStr">
        <is>
          <t>BAST-2025-IN-0060</t>
        </is>
      </c>
      <c r="H61" s="9" t="n">
        <v>60000</v>
      </c>
      <c r="I61" s="9" t="n">
        <v>51000000</v>
      </c>
    </row>
    <row r="62" ht="20" customHeight="1">
      <c r="A62" s="2" t="inlineStr">
        <is>
          <t>APBD</t>
        </is>
      </c>
      <c r="B62" s="3" t="inlineStr">
        <is>
          <t>Tenda Pengungsi</t>
        </is>
      </c>
      <c r="C62" s="2" t="inlineStr">
        <is>
          <t>Papan</t>
        </is>
      </c>
      <c r="D62" s="4" t="n">
        <v>140</v>
      </c>
      <c r="E62" s="2" t="n"/>
      <c r="F62" s="5" t="n">
        <v>45840</v>
      </c>
      <c r="G62" s="6" t="inlineStr">
        <is>
          <t>BAST-2025-IN-0061</t>
        </is>
      </c>
      <c r="H62" s="4" t="n">
        <v>8500000</v>
      </c>
      <c r="I62" s="4" t="n">
        <v>1190000000</v>
      </c>
    </row>
    <row r="63" ht="20" customHeight="1">
      <c r="A63" s="7" t="inlineStr">
        <is>
          <t>APBD</t>
        </is>
      </c>
      <c r="B63" s="8" t="inlineStr">
        <is>
          <t>Chainsaw</t>
        </is>
      </c>
      <c r="C63" s="7" t="inlineStr">
        <is>
          <t>Logistik Lainnya</t>
        </is>
      </c>
      <c r="D63" s="9" t="n">
        <v>26</v>
      </c>
      <c r="E63" s="7" t="n"/>
      <c r="F63" s="10" t="n">
        <v>45854</v>
      </c>
      <c r="G63" s="11" t="inlineStr">
        <is>
          <t>BAST-2025-IN-0062</t>
        </is>
      </c>
      <c r="H63" s="9" t="n">
        <v>4500000</v>
      </c>
      <c r="I63" s="9" t="n">
        <v>117000000</v>
      </c>
    </row>
    <row r="64" ht="20" customHeight="1">
      <c r="A64" s="2" t="inlineStr">
        <is>
          <t>APBN</t>
        </is>
      </c>
      <c r="B64" s="3" t="inlineStr">
        <is>
          <t>Pakaian Dewasa</t>
        </is>
      </c>
      <c r="C64" s="2" t="inlineStr">
        <is>
          <t>Sandang</t>
        </is>
      </c>
      <c r="D64" s="4" t="n">
        <v>1250</v>
      </c>
      <c r="E64" s="2" t="n"/>
      <c r="F64" s="5" t="n">
        <v>45861</v>
      </c>
      <c r="G64" s="6" t="inlineStr">
        <is>
          <t>BAST-2025-IN-0063</t>
        </is>
      </c>
      <c r="H64" s="4" t="n">
        <v>95000</v>
      </c>
      <c r="I64" s="4" t="n">
        <v>118750000</v>
      </c>
    </row>
    <row r="65" ht="20" customHeight="1">
      <c r="A65" s="7" t="inlineStr">
        <is>
          <t>APBN</t>
        </is>
      </c>
      <c r="B65" s="8" t="inlineStr">
        <is>
          <t>Family Kit</t>
        </is>
      </c>
      <c r="C65" s="7" t="inlineStr">
        <is>
          <t>Logistik Lainnya</t>
        </is>
      </c>
      <c r="D65" s="9" t="n">
        <v>600</v>
      </c>
      <c r="E65" s="7" t="n"/>
      <c r="F65" s="10" t="n">
        <v>45861</v>
      </c>
      <c r="G65" s="11" t="inlineStr">
        <is>
          <t>BAST-2025-IN-0064</t>
        </is>
      </c>
      <c r="H65" s="9" t="n">
        <v>350000</v>
      </c>
      <c r="I65" s="9" t="n">
        <v>210000000</v>
      </c>
    </row>
    <row r="66" ht="20" customHeight="1">
      <c r="A66" s="2" t="inlineStr">
        <is>
          <t>APBN</t>
        </is>
      </c>
      <c r="B66" s="3" t="inlineStr">
        <is>
          <t>Pakaian Dewasa</t>
        </is>
      </c>
      <c r="C66" s="2" t="inlineStr">
        <is>
          <t>Sandang</t>
        </is>
      </c>
      <c r="D66" s="4" t="n">
        <v>1950</v>
      </c>
      <c r="E66" s="2" t="n"/>
      <c r="F66" s="5" t="n">
        <v>45863</v>
      </c>
      <c r="G66" s="6" t="inlineStr">
        <is>
          <t>BAST-2025-IN-0065</t>
        </is>
      </c>
      <c r="H66" s="4" t="n">
        <v>95000</v>
      </c>
      <c r="I66" s="4" t="n">
        <v>185250000</v>
      </c>
    </row>
    <row r="67" ht="20" customHeight="1">
      <c r="A67" s="7" t="inlineStr">
        <is>
          <t>APBD</t>
        </is>
      </c>
      <c r="B67" s="8" t="inlineStr">
        <is>
          <t>Air Mineral</t>
        </is>
      </c>
      <c r="C67" s="7" t="inlineStr">
        <is>
          <t>Pangan</t>
        </is>
      </c>
      <c r="D67" s="9" t="n">
        <v>4050</v>
      </c>
      <c r="E67" s="10" t="n">
        <v>46708</v>
      </c>
      <c r="F67" s="10" t="n">
        <v>45872</v>
      </c>
      <c r="G67" s="11" t="inlineStr">
        <is>
          <t>BAST-2025-IN-0066</t>
        </is>
      </c>
      <c r="H67" s="9" t="n">
        <v>30000</v>
      </c>
      <c r="I67" s="9" t="n">
        <v>121500000</v>
      </c>
    </row>
    <row r="68" ht="20" customHeight="1">
      <c r="A68" s="2" t="inlineStr">
        <is>
          <t>CSR</t>
        </is>
      </c>
      <c r="B68" s="3" t="inlineStr">
        <is>
          <t>Makanan Siap Saji</t>
        </is>
      </c>
      <c r="C68" s="2" t="inlineStr">
        <is>
          <t>Pangan</t>
        </is>
      </c>
      <c r="D68" s="4" t="n">
        <v>2550</v>
      </c>
      <c r="E68" s="5" t="n">
        <v>46474</v>
      </c>
      <c r="F68" s="5" t="n">
        <v>45874</v>
      </c>
      <c r="G68" s="6" t="inlineStr">
        <is>
          <t>BAST-2025-IN-0067</t>
        </is>
      </c>
      <c r="H68" s="4" t="n">
        <v>45000</v>
      </c>
      <c r="I68" s="4" t="n">
        <v>114750000</v>
      </c>
    </row>
    <row r="69" ht="20" customHeight="1">
      <c r="A69" s="7" t="inlineStr">
        <is>
          <t>CSR</t>
        </is>
      </c>
      <c r="B69" s="8" t="inlineStr">
        <is>
          <t>Makanan Siap Saji</t>
        </is>
      </c>
      <c r="C69" s="7" t="inlineStr">
        <is>
          <t>Pangan</t>
        </is>
      </c>
      <c r="D69" s="9" t="n">
        <v>3450</v>
      </c>
      <c r="E69" s="10" t="n">
        <v>46377</v>
      </c>
      <c r="F69" s="10" t="n">
        <v>45874</v>
      </c>
      <c r="G69" s="11" t="inlineStr">
        <is>
          <t>BAST-2025-IN-0068</t>
        </is>
      </c>
      <c r="H69" s="9" t="n">
        <v>45000</v>
      </c>
      <c r="I69" s="9" t="n">
        <v>155250000</v>
      </c>
    </row>
    <row r="70" ht="20" customHeight="1">
      <c r="A70" s="2" t="inlineStr">
        <is>
          <t>CSR</t>
        </is>
      </c>
      <c r="B70" s="3" t="inlineStr">
        <is>
          <t>Air Mineral</t>
        </is>
      </c>
      <c r="C70" s="2" t="inlineStr">
        <is>
          <t>Pangan</t>
        </is>
      </c>
      <c r="D70" s="4" t="n">
        <v>5900</v>
      </c>
      <c r="E70" s="2" t="n"/>
      <c r="F70" s="5" t="n">
        <v>45875</v>
      </c>
      <c r="G70" s="6" t="inlineStr">
        <is>
          <t>BAST-2025-IN-0069</t>
        </is>
      </c>
      <c r="H70" s="4" t="n">
        <v>30000</v>
      </c>
      <c r="I70" s="4" t="n">
        <v>177000000</v>
      </c>
    </row>
    <row r="71" ht="20" customHeight="1">
      <c r="A71" s="7" t="inlineStr">
        <is>
          <t>APBD</t>
        </is>
      </c>
      <c r="B71" s="8" t="inlineStr">
        <is>
          <t>Genset</t>
        </is>
      </c>
      <c r="C71" s="7" t="inlineStr">
        <is>
          <t>Logistik Lainnya</t>
        </is>
      </c>
      <c r="D71" s="9" t="n">
        <v>24</v>
      </c>
      <c r="E71" s="7" t="n"/>
      <c r="F71" s="10" t="n">
        <v>45878</v>
      </c>
      <c r="G71" s="11" t="inlineStr">
        <is>
          <t>BAST-2025-IN-0070</t>
        </is>
      </c>
      <c r="H71" s="9" t="n">
        <v>12500000</v>
      </c>
      <c r="I71" s="9" t="n">
        <v>300000000</v>
      </c>
    </row>
    <row r="72" ht="20" customHeight="1">
      <c r="A72" s="2" t="inlineStr">
        <is>
          <t>APBD</t>
        </is>
      </c>
      <c r="B72" s="3" t="inlineStr">
        <is>
          <t>Air Mineral</t>
        </is>
      </c>
      <c r="C72" s="2" t="inlineStr">
        <is>
          <t>Pangan</t>
        </is>
      </c>
      <c r="D72" s="4" t="n">
        <v>3750</v>
      </c>
      <c r="E72" s="2" t="n"/>
      <c r="F72" s="5" t="n">
        <v>45881</v>
      </c>
      <c r="G72" s="6" t="inlineStr">
        <is>
          <t>BAST-2025-IN-0071</t>
        </is>
      </c>
      <c r="H72" s="4" t="n">
        <v>30000</v>
      </c>
      <c r="I72" s="4" t="n">
        <v>112500000</v>
      </c>
    </row>
    <row r="73" ht="20" customHeight="1">
      <c r="A73" s="7" t="inlineStr">
        <is>
          <t>CSR</t>
        </is>
      </c>
      <c r="B73" s="8" t="inlineStr">
        <is>
          <t>Pakaian Anak</t>
        </is>
      </c>
      <c r="C73" s="7" t="inlineStr">
        <is>
          <t>Sandang</t>
        </is>
      </c>
      <c r="D73" s="9" t="n">
        <v>500</v>
      </c>
      <c r="E73" s="7" t="n"/>
      <c r="F73" s="10" t="n">
        <v>45882</v>
      </c>
      <c r="G73" s="11" t="inlineStr">
        <is>
          <t>BAST-2025-IN-0072</t>
        </is>
      </c>
      <c r="H73" s="9" t="n">
        <v>75000</v>
      </c>
      <c r="I73" s="9" t="n">
        <v>37500000</v>
      </c>
    </row>
    <row r="74" ht="20" customHeight="1">
      <c r="A74" s="2" t="inlineStr">
        <is>
          <t>APBD</t>
        </is>
      </c>
      <c r="B74" s="3" t="inlineStr">
        <is>
          <t>Tenda Keluarga</t>
        </is>
      </c>
      <c r="C74" s="2" t="inlineStr">
        <is>
          <t>Papan</t>
        </is>
      </c>
      <c r="D74" s="4" t="n">
        <v>190</v>
      </c>
      <c r="E74" s="2" t="n"/>
      <c r="F74" s="5" t="n">
        <v>45882</v>
      </c>
      <c r="G74" s="6" t="inlineStr">
        <is>
          <t>BAST-2025-IN-0073</t>
        </is>
      </c>
      <c r="H74" s="4" t="n">
        <v>3200000</v>
      </c>
      <c r="I74" s="4" t="n">
        <v>608000000</v>
      </c>
    </row>
    <row r="75" ht="20" customHeight="1">
      <c r="A75" s="7" t="inlineStr">
        <is>
          <t>APBN</t>
        </is>
      </c>
      <c r="B75" s="8" t="inlineStr">
        <is>
          <t>Sanitasi Kit</t>
        </is>
      </c>
      <c r="C75" s="7" t="inlineStr">
        <is>
          <t>Logistik Lainnya</t>
        </is>
      </c>
      <c r="D75" s="9" t="n">
        <v>700</v>
      </c>
      <c r="E75" s="10" t="n">
        <v>46494</v>
      </c>
      <c r="F75" s="10" t="n">
        <v>45883</v>
      </c>
      <c r="G75" s="11" t="inlineStr">
        <is>
          <t>BAST-2025-IN-0074</t>
        </is>
      </c>
      <c r="H75" s="9" t="n">
        <v>250000</v>
      </c>
      <c r="I75" s="9" t="n">
        <v>175000000</v>
      </c>
    </row>
    <row r="76" ht="20" customHeight="1">
      <c r="A76" s="2" t="inlineStr">
        <is>
          <t>APBD</t>
        </is>
      </c>
      <c r="B76" s="3" t="inlineStr">
        <is>
          <t>Makanan Siap Saji</t>
        </is>
      </c>
      <c r="C76" s="2" t="inlineStr">
        <is>
          <t>Pangan</t>
        </is>
      </c>
      <c r="D76" s="4" t="n">
        <v>4000</v>
      </c>
      <c r="E76" s="2" t="n"/>
      <c r="F76" s="5" t="n">
        <v>45883</v>
      </c>
      <c r="G76" s="6" t="inlineStr">
        <is>
          <t>BAST-2025-IN-0075</t>
        </is>
      </c>
      <c r="H76" s="4" t="n">
        <v>45000</v>
      </c>
      <c r="I76" s="4" t="n">
        <v>180000000</v>
      </c>
    </row>
    <row r="77" ht="20" customHeight="1">
      <c r="A77" s="7" t="inlineStr">
        <is>
          <t>CSR</t>
        </is>
      </c>
      <c r="B77" s="8" t="inlineStr">
        <is>
          <t>Air Mineral</t>
        </is>
      </c>
      <c r="C77" s="7" t="inlineStr">
        <is>
          <t>Pangan</t>
        </is>
      </c>
      <c r="D77" s="9" t="n">
        <v>4300</v>
      </c>
      <c r="E77" s="10" t="n">
        <v>46786</v>
      </c>
      <c r="F77" s="10" t="n">
        <v>45886</v>
      </c>
      <c r="G77" s="11" t="inlineStr">
        <is>
          <t>BAST-2025-IN-0076</t>
        </is>
      </c>
      <c r="H77" s="9" t="n">
        <v>30000</v>
      </c>
      <c r="I77" s="9" t="n">
        <v>129000000</v>
      </c>
    </row>
    <row r="78" ht="20" customHeight="1">
      <c r="A78" s="2" t="inlineStr">
        <is>
          <t>APBD</t>
        </is>
      </c>
      <c r="B78" s="3" t="inlineStr">
        <is>
          <t>Beras</t>
        </is>
      </c>
      <c r="C78" s="2" t="inlineStr">
        <is>
          <t>Pangan</t>
        </is>
      </c>
      <c r="D78" s="4" t="n">
        <v>11750</v>
      </c>
      <c r="E78" s="5" t="n">
        <v>46515</v>
      </c>
      <c r="F78" s="5" t="n">
        <v>45888</v>
      </c>
      <c r="G78" s="6" t="inlineStr">
        <is>
          <t>BAST-2025-IN-0077</t>
        </is>
      </c>
      <c r="H78" s="4" t="n">
        <v>15000</v>
      </c>
      <c r="I78" s="4" t="n">
        <v>176250000</v>
      </c>
    </row>
    <row r="79" ht="20" customHeight="1">
      <c r="A79" s="7" t="inlineStr">
        <is>
          <t>APBN</t>
        </is>
      </c>
      <c r="B79" s="8" t="inlineStr">
        <is>
          <t>Susu Formula</t>
        </is>
      </c>
      <c r="C79" s="7" t="inlineStr">
        <is>
          <t>Pangan</t>
        </is>
      </c>
      <c r="D79" s="9" t="n">
        <v>700</v>
      </c>
      <c r="E79" s="10" t="n">
        <v>46176</v>
      </c>
      <c r="F79" s="10" t="n">
        <v>45891</v>
      </c>
      <c r="G79" s="11" t="inlineStr">
        <is>
          <t>BAST-2025-IN-0078</t>
        </is>
      </c>
      <c r="H79" s="9" t="n">
        <v>65000</v>
      </c>
      <c r="I79" s="9" t="n">
        <v>45500000</v>
      </c>
    </row>
    <row r="80" ht="20" customHeight="1">
      <c r="A80" s="2" t="inlineStr">
        <is>
          <t>APBN</t>
        </is>
      </c>
      <c r="B80" s="3" t="inlineStr">
        <is>
          <t>Susu Formula</t>
        </is>
      </c>
      <c r="C80" s="2" t="inlineStr">
        <is>
          <t>Pangan</t>
        </is>
      </c>
      <c r="D80" s="4" t="n">
        <v>1050</v>
      </c>
      <c r="E80" s="5" t="n">
        <v>46398</v>
      </c>
      <c r="F80" s="5" t="n">
        <v>45892</v>
      </c>
      <c r="G80" s="6" t="inlineStr">
        <is>
          <t>BAST-2025-IN-0079</t>
        </is>
      </c>
      <c r="H80" s="4" t="n">
        <v>65000</v>
      </c>
      <c r="I80" s="4" t="n">
        <v>68250000</v>
      </c>
    </row>
    <row r="81" ht="20" customHeight="1">
      <c r="A81" s="7" t="inlineStr">
        <is>
          <t>APBD</t>
        </is>
      </c>
      <c r="B81" s="8" t="inlineStr">
        <is>
          <t>Family Kit</t>
        </is>
      </c>
      <c r="C81" s="7" t="inlineStr">
        <is>
          <t>Logistik Lainnya</t>
        </is>
      </c>
      <c r="D81" s="9" t="n">
        <v>450</v>
      </c>
      <c r="E81" s="7" t="n"/>
      <c r="F81" s="10" t="n">
        <v>45893</v>
      </c>
      <c r="G81" s="11" t="inlineStr">
        <is>
          <t>BAST-2025-IN-0080</t>
        </is>
      </c>
      <c r="H81" s="9" t="n">
        <v>350000</v>
      </c>
      <c r="I81" s="9" t="n">
        <v>157500000</v>
      </c>
    </row>
    <row r="82" ht="20" customHeight="1">
      <c r="A82" s="2" t="inlineStr">
        <is>
          <t>APBD</t>
        </is>
      </c>
      <c r="B82" s="3" t="inlineStr">
        <is>
          <t>Perahu Karet</t>
        </is>
      </c>
      <c r="C82" s="2" t="inlineStr">
        <is>
          <t>Logistik Lainnya</t>
        </is>
      </c>
      <c r="D82" s="4" t="n">
        <v>14</v>
      </c>
      <c r="E82" s="2" t="n"/>
      <c r="F82" s="5" t="n">
        <v>45896</v>
      </c>
      <c r="G82" s="6" t="inlineStr">
        <is>
          <t>BAST-2025-IN-0081</t>
        </is>
      </c>
      <c r="H82" s="4" t="n">
        <v>35000000</v>
      </c>
      <c r="I82" s="4" t="n">
        <v>490000000</v>
      </c>
    </row>
    <row r="83" ht="20" customHeight="1">
      <c r="A83" s="7" t="inlineStr">
        <is>
          <t>APBN</t>
        </is>
      </c>
      <c r="B83" s="8" t="inlineStr">
        <is>
          <t>Pakaian Anak</t>
        </is>
      </c>
      <c r="C83" s="7" t="inlineStr">
        <is>
          <t>Sandang</t>
        </is>
      </c>
      <c r="D83" s="9" t="n">
        <v>1450</v>
      </c>
      <c r="E83" s="7" t="n"/>
      <c r="F83" s="10" t="n">
        <v>45896</v>
      </c>
      <c r="G83" s="11" t="inlineStr">
        <is>
          <t>BAST-2025-IN-0082</t>
        </is>
      </c>
      <c r="H83" s="9" t="n">
        <v>75000</v>
      </c>
      <c r="I83" s="9" t="n">
        <v>108750000</v>
      </c>
    </row>
    <row r="84" ht="20" customHeight="1">
      <c r="A84" s="2" t="inlineStr">
        <is>
          <t>APBN</t>
        </is>
      </c>
      <c r="B84" s="3" t="inlineStr">
        <is>
          <t>Pakaian Dewasa</t>
        </is>
      </c>
      <c r="C84" s="2" t="inlineStr">
        <is>
          <t>Sandang</t>
        </is>
      </c>
      <c r="D84" s="4" t="n">
        <v>1900</v>
      </c>
      <c r="E84" s="2" t="n"/>
      <c r="F84" s="5" t="n">
        <v>45903</v>
      </c>
      <c r="G84" s="6" t="inlineStr">
        <is>
          <t>BAST-2025-IN-0083</t>
        </is>
      </c>
      <c r="H84" s="4" t="n">
        <v>95000</v>
      </c>
      <c r="I84" s="4" t="n">
        <v>180500000</v>
      </c>
    </row>
    <row r="85" ht="20" customHeight="1">
      <c r="A85" s="7" t="inlineStr">
        <is>
          <t>APBN</t>
        </is>
      </c>
      <c r="B85" s="8" t="inlineStr">
        <is>
          <t>Beras</t>
        </is>
      </c>
      <c r="C85" s="7" t="inlineStr">
        <is>
          <t>Pangan</t>
        </is>
      </c>
      <c r="D85" s="9" t="n">
        <v>14150</v>
      </c>
      <c r="E85" s="7" t="n"/>
      <c r="F85" s="10" t="n">
        <v>45904</v>
      </c>
      <c r="G85" s="11" t="inlineStr">
        <is>
          <t>BAST-2025-IN-0084</t>
        </is>
      </c>
      <c r="H85" s="9" t="n">
        <v>15000</v>
      </c>
      <c r="I85" s="9" t="n">
        <v>212250000</v>
      </c>
    </row>
    <row r="86" ht="20" customHeight="1">
      <c r="A86" s="2" t="inlineStr">
        <is>
          <t>CSR</t>
        </is>
      </c>
      <c r="B86" s="3" t="inlineStr">
        <is>
          <t>Seng</t>
        </is>
      </c>
      <c r="C86" s="2" t="inlineStr">
        <is>
          <t>Papan</t>
        </is>
      </c>
      <c r="D86" s="4" t="n">
        <v>300</v>
      </c>
      <c r="E86" s="2" t="n"/>
      <c r="F86" s="5" t="n">
        <v>45908</v>
      </c>
      <c r="G86" s="6" t="inlineStr">
        <is>
          <t>BAST-2025-IN-0085</t>
        </is>
      </c>
      <c r="H86" s="4" t="n">
        <v>90000</v>
      </c>
      <c r="I86" s="4" t="n">
        <v>27000000</v>
      </c>
    </row>
    <row r="87" ht="20" customHeight="1">
      <c r="A87" s="7" t="inlineStr">
        <is>
          <t>CSR</t>
        </is>
      </c>
      <c r="B87" s="8" t="inlineStr">
        <is>
          <t>Susu Formula</t>
        </is>
      </c>
      <c r="C87" s="7" t="inlineStr">
        <is>
          <t>Pangan</t>
        </is>
      </c>
      <c r="D87" s="9" t="n">
        <v>300</v>
      </c>
      <c r="E87" s="10" t="n">
        <v>46343</v>
      </c>
      <c r="F87" s="10" t="n">
        <v>45908</v>
      </c>
      <c r="G87" s="11" t="inlineStr">
        <is>
          <t>BAST-2025-IN-0086</t>
        </is>
      </c>
      <c r="H87" s="9" t="n">
        <v>65000</v>
      </c>
      <c r="I87" s="9" t="n">
        <v>19500000</v>
      </c>
    </row>
    <row r="88" ht="20" customHeight="1">
      <c r="A88" s="2" t="inlineStr">
        <is>
          <t>APBD</t>
        </is>
      </c>
      <c r="B88" s="3" t="inlineStr">
        <is>
          <t>Sanitasi Kit</t>
        </is>
      </c>
      <c r="C88" s="2" t="inlineStr">
        <is>
          <t>Logistik Lainnya</t>
        </is>
      </c>
      <c r="D88" s="4" t="n">
        <v>1100</v>
      </c>
      <c r="E88" s="5" t="n">
        <v>46594</v>
      </c>
      <c r="F88" s="5" t="n">
        <v>45910</v>
      </c>
      <c r="G88" s="6" t="inlineStr">
        <is>
          <t>BAST-2025-IN-0087</t>
        </is>
      </c>
      <c r="H88" s="4" t="n">
        <v>250000</v>
      </c>
      <c r="I88" s="4" t="n">
        <v>275000000</v>
      </c>
    </row>
    <row r="89" ht="20" customHeight="1">
      <c r="A89" s="7" t="inlineStr">
        <is>
          <t>APBN</t>
        </is>
      </c>
      <c r="B89" s="8" t="inlineStr">
        <is>
          <t>Perahu Karet</t>
        </is>
      </c>
      <c r="C89" s="7" t="inlineStr">
        <is>
          <t>Logistik Lainnya</t>
        </is>
      </c>
      <c r="D89" s="9" t="n">
        <v>16</v>
      </c>
      <c r="E89" s="7" t="n"/>
      <c r="F89" s="10" t="n">
        <v>45911</v>
      </c>
      <c r="G89" s="11" t="inlineStr">
        <is>
          <t>BAST-2025-IN-0088</t>
        </is>
      </c>
      <c r="H89" s="9" t="n">
        <v>35000000</v>
      </c>
      <c r="I89" s="9" t="n">
        <v>560000000</v>
      </c>
    </row>
    <row r="90" ht="20" customHeight="1">
      <c r="A90" s="2" t="inlineStr">
        <is>
          <t>APBD</t>
        </is>
      </c>
      <c r="B90" s="3" t="inlineStr">
        <is>
          <t>Susu Formula</t>
        </is>
      </c>
      <c r="C90" s="2" t="inlineStr">
        <is>
          <t>Pangan</t>
        </is>
      </c>
      <c r="D90" s="4" t="n">
        <v>650</v>
      </c>
      <c r="E90" s="2" t="n"/>
      <c r="F90" s="5" t="n">
        <v>45915</v>
      </c>
      <c r="G90" s="6" t="inlineStr">
        <is>
          <t>BAST-2025-IN-0089</t>
        </is>
      </c>
      <c r="H90" s="4" t="n">
        <v>65000</v>
      </c>
      <c r="I90" s="4" t="n">
        <v>42250000</v>
      </c>
    </row>
    <row r="91" ht="20" customHeight="1">
      <c r="A91" s="7" t="inlineStr">
        <is>
          <t>CSR</t>
        </is>
      </c>
      <c r="B91" s="8" t="inlineStr">
        <is>
          <t>Perahu Karet</t>
        </is>
      </c>
      <c r="C91" s="7" t="inlineStr">
        <is>
          <t>Logistik Lainnya</t>
        </is>
      </c>
      <c r="D91" s="9" t="n">
        <v>22</v>
      </c>
      <c r="E91" s="7" t="n"/>
      <c r="F91" s="10" t="n">
        <v>45927</v>
      </c>
      <c r="G91" s="11" t="inlineStr">
        <is>
          <t>BAST-2025-IN-0090</t>
        </is>
      </c>
      <c r="H91" s="9" t="n">
        <v>35000000</v>
      </c>
      <c r="I91" s="9" t="n">
        <v>770000000</v>
      </c>
    </row>
    <row r="92" ht="20" customHeight="1">
      <c r="A92" s="2" t="inlineStr">
        <is>
          <t>APBN</t>
        </is>
      </c>
      <c r="B92" s="3" t="inlineStr">
        <is>
          <t>Biskuit</t>
        </is>
      </c>
      <c r="C92" s="2" t="inlineStr">
        <is>
          <t>Pangan</t>
        </is>
      </c>
      <c r="D92" s="4" t="n">
        <v>2100</v>
      </c>
      <c r="E92" s="5" t="n">
        <v>46430</v>
      </c>
      <c r="F92" s="5" t="n">
        <v>45927</v>
      </c>
      <c r="G92" s="6" t="inlineStr">
        <is>
          <t>BAST-2025-IN-0091</t>
        </is>
      </c>
      <c r="H92" s="4" t="n">
        <v>25000</v>
      </c>
      <c r="I92" s="4" t="n">
        <v>52500000</v>
      </c>
    </row>
    <row r="93" ht="20" customHeight="1">
      <c r="A93" s="7" t="inlineStr">
        <is>
          <t>APBD</t>
        </is>
      </c>
      <c r="B93" s="8" t="inlineStr">
        <is>
          <t>Air Mineral</t>
        </is>
      </c>
      <c r="C93" s="7" t="inlineStr">
        <is>
          <t>Pangan</t>
        </is>
      </c>
      <c r="D93" s="9" t="n">
        <v>4900</v>
      </c>
      <c r="E93" s="10" t="n">
        <v>46312</v>
      </c>
      <c r="F93" s="10" t="n">
        <v>45928</v>
      </c>
      <c r="G93" s="11" t="inlineStr">
        <is>
          <t>BAST-2025-IN-0092</t>
        </is>
      </c>
      <c r="H93" s="9" t="n">
        <v>30000</v>
      </c>
      <c r="I93" s="9" t="n">
        <v>147000000</v>
      </c>
    </row>
    <row r="94" ht="20" customHeight="1">
      <c r="A94" s="2" t="inlineStr">
        <is>
          <t>APBN</t>
        </is>
      </c>
      <c r="B94" s="3" t="inlineStr">
        <is>
          <t>Makanan Siap Saji</t>
        </is>
      </c>
      <c r="C94" s="2" t="inlineStr">
        <is>
          <t>Pangan</t>
        </is>
      </c>
      <c r="D94" s="4" t="n">
        <v>1000</v>
      </c>
      <c r="E94" s="5" t="n">
        <v>46501</v>
      </c>
      <c r="F94" s="5" t="n">
        <v>45929</v>
      </c>
      <c r="G94" s="6" t="inlineStr">
        <is>
          <t>BAST-2025-IN-0093</t>
        </is>
      </c>
      <c r="H94" s="4" t="n">
        <v>45000</v>
      </c>
      <c r="I94" s="4" t="n">
        <v>45000000</v>
      </c>
    </row>
    <row r="95" ht="20" customHeight="1">
      <c r="A95" s="7" t="inlineStr">
        <is>
          <t>APBD</t>
        </is>
      </c>
      <c r="B95" s="8" t="inlineStr">
        <is>
          <t>Matras</t>
        </is>
      </c>
      <c r="C95" s="7" t="inlineStr">
        <is>
          <t>Sandang</t>
        </is>
      </c>
      <c r="D95" s="9" t="n">
        <v>550</v>
      </c>
      <c r="E95" s="7" t="n"/>
      <c r="F95" s="10" t="n">
        <v>45929</v>
      </c>
      <c r="G95" s="11" t="inlineStr">
        <is>
          <t>BAST-2025-IN-0094</t>
        </is>
      </c>
      <c r="H95" s="9" t="n">
        <v>120000</v>
      </c>
      <c r="I95" s="9" t="n">
        <v>66000000</v>
      </c>
    </row>
    <row r="96" ht="20" customHeight="1">
      <c r="A96" s="2" t="inlineStr">
        <is>
          <t>APBD</t>
        </is>
      </c>
      <c r="B96" s="3" t="inlineStr">
        <is>
          <t>Tenda Keluarga</t>
        </is>
      </c>
      <c r="C96" s="2" t="inlineStr">
        <is>
          <t>Papan</t>
        </is>
      </c>
      <c r="D96" s="4" t="n">
        <v>210</v>
      </c>
      <c r="E96" s="2" t="n"/>
      <c r="F96" s="5" t="n">
        <v>45931</v>
      </c>
      <c r="G96" s="6" t="inlineStr">
        <is>
          <t>BAST-2025-IN-0095</t>
        </is>
      </c>
      <c r="H96" s="4" t="n">
        <v>3200000</v>
      </c>
      <c r="I96" s="4" t="n">
        <v>672000000</v>
      </c>
    </row>
    <row r="97" ht="20" customHeight="1">
      <c r="A97" s="7" t="inlineStr">
        <is>
          <t>CSR</t>
        </is>
      </c>
      <c r="B97" s="8" t="inlineStr">
        <is>
          <t>Selimut</t>
        </is>
      </c>
      <c r="C97" s="7" t="inlineStr">
        <is>
          <t>Sandang</t>
        </is>
      </c>
      <c r="D97" s="9" t="n">
        <v>1950</v>
      </c>
      <c r="E97" s="7" t="n"/>
      <c r="F97" s="10" t="n">
        <v>45931</v>
      </c>
      <c r="G97" s="11" t="inlineStr">
        <is>
          <t>BAST-2025-IN-0096</t>
        </is>
      </c>
      <c r="H97" s="9" t="n">
        <v>85000</v>
      </c>
      <c r="I97" s="9" t="n">
        <v>165750000</v>
      </c>
    </row>
    <row r="98" ht="20" customHeight="1">
      <c r="A98" s="2" t="inlineStr">
        <is>
          <t>CSR</t>
        </is>
      </c>
      <c r="B98" s="3" t="inlineStr">
        <is>
          <t>Tenda Keluarga</t>
        </is>
      </c>
      <c r="C98" s="2" t="inlineStr">
        <is>
          <t>Papan</t>
        </is>
      </c>
      <c r="D98" s="4" t="n">
        <v>140</v>
      </c>
      <c r="E98" s="2" t="n"/>
      <c r="F98" s="5" t="n">
        <v>45932</v>
      </c>
      <c r="G98" s="6" t="inlineStr">
        <is>
          <t>BAST-2025-IN-0097</t>
        </is>
      </c>
      <c r="H98" s="4" t="n">
        <v>3200000</v>
      </c>
      <c r="I98" s="4" t="n">
        <v>448000000</v>
      </c>
    </row>
    <row r="99" ht="20" customHeight="1">
      <c r="A99" s="7" t="inlineStr">
        <is>
          <t>APBN</t>
        </is>
      </c>
      <c r="B99" s="8" t="inlineStr">
        <is>
          <t>Tenda Pengungsi</t>
        </is>
      </c>
      <c r="C99" s="7" t="inlineStr">
        <is>
          <t>Papan</t>
        </is>
      </c>
      <c r="D99" s="9" t="n">
        <v>80</v>
      </c>
      <c r="E99" s="7" t="n"/>
      <c r="F99" s="10" t="n">
        <v>45934</v>
      </c>
      <c r="G99" s="11" t="inlineStr">
        <is>
          <t>BAST-2025-IN-0098</t>
        </is>
      </c>
      <c r="H99" s="9" t="n">
        <v>8500000</v>
      </c>
      <c r="I99" s="9" t="n">
        <v>680000000</v>
      </c>
    </row>
    <row r="100" ht="20" customHeight="1">
      <c r="A100" s="2" t="inlineStr">
        <is>
          <t>APBD</t>
        </is>
      </c>
      <c r="B100" s="3" t="inlineStr">
        <is>
          <t>Terpal</t>
        </is>
      </c>
      <c r="C100" s="2" t="inlineStr">
        <is>
          <t>Papan</t>
        </is>
      </c>
      <c r="D100" s="4" t="n">
        <v>550</v>
      </c>
      <c r="E100" s="2" t="n"/>
      <c r="F100" s="5" t="n">
        <v>45939</v>
      </c>
      <c r="G100" s="6" t="inlineStr">
        <is>
          <t>BAST-2025-IN-0099</t>
        </is>
      </c>
      <c r="H100" s="4" t="n">
        <v>150000</v>
      </c>
      <c r="I100" s="4" t="n">
        <v>82500000</v>
      </c>
    </row>
    <row r="101" ht="20" customHeight="1">
      <c r="A101" s="7" t="inlineStr">
        <is>
          <t>APBD</t>
        </is>
      </c>
      <c r="B101" s="8" t="inlineStr">
        <is>
          <t>Susu Formula</t>
        </is>
      </c>
      <c r="C101" s="7" t="inlineStr">
        <is>
          <t>Pangan</t>
        </is>
      </c>
      <c r="D101" s="9" t="n">
        <v>650</v>
      </c>
      <c r="E101" s="10" t="n">
        <v>46225</v>
      </c>
      <c r="F101" s="10" t="n">
        <v>45942</v>
      </c>
      <c r="G101" s="11" t="inlineStr">
        <is>
          <t>BAST-2025-IN-0100</t>
        </is>
      </c>
      <c r="H101" s="9" t="n">
        <v>65000</v>
      </c>
      <c r="I101" s="9" t="n">
        <v>42250000</v>
      </c>
    </row>
    <row r="102" ht="20" customHeight="1">
      <c r="A102" s="2" t="inlineStr">
        <is>
          <t>APBD</t>
        </is>
      </c>
      <c r="B102" s="3" t="inlineStr">
        <is>
          <t>Beras</t>
        </is>
      </c>
      <c r="C102" s="2" t="inlineStr">
        <is>
          <t>Pangan</t>
        </is>
      </c>
      <c r="D102" s="4" t="n">
        <v>14750</v>
      </c>
      <c r="E102" s="5" t="n">
        <v>46319</v>
      </c>
      <c r="F102" s="5" t="n">
        <v>45942</v>
      </c>
      <c r="G102" s="6" t="inlineStr">
        <is>
          <t>BAST-2025-IN-0101</t>
        </is>
      </c>
      <c r="H102" s="4" t="n">
        <v>15000</v>
      </c>
      <c r="I102" s="4" t="n">
        <v>221250000</v>
      </c>
    </row>
    <row r="103" ht="20" customHeight="1">
      <c r="A103" s="7" t="inlineStr">
        <is>
          <t>CSR</t>
        </is>
      </c>
      <c r="B103" s="8" t="inlineStr">
        <is>
          <t>Selimut</t>
        </is>
      </c>
      <c r="C103" s="7" t="inlineStr">
        <is>
          <t>Sandang</t>
        </is>
      </c>
      <c r="D103" s="9" t="n">
        <v>1000</v>
      </c>
      <c r="E103" s="7" t="n"/>
      <c r="F103" s="10" t="n">
        <v>45942</v>
      </c>
      <c r="G103" s="11" t="inlineStr">
        <is>
          <t>BAST-2025-IN-0102</t>
        </is>
      </c>
      <c r="H103" s="9" t="n">
        <v>85000</v>
      </c>
      <c r="I103" s="9" t="n">
        <v>85000000</v>
      </c>
    </row>
    <row r="104" ht="20" customHeight="1">
      <c r="A104" s="2" t="inlineStr">
        <is>
          <t>CSR</t>
        </is>
      </c>
      <c r="B104" s="3" t="inlineStr">
        <is>
          <t>Family Kit</t>
        </is>
      </c>
      <c r="C104" s="2" t="inlineStr">
        <is>
          <t>Logistik Lainnya</t>
        </is>
      </c>
      <c r="D104" s="4" t="n">
        <v>1450</v>
      </c>
      <c r="E104" s="2" t="n"/>
      <c r="F104" s="5" t="n">
        <v>45954</v>
      </c>
      <c r="G104" s="6" t="inlineStr">
        <is>
          <t>BAST-2025-IN-0103</t>
        </is>
      </c>
      <c r="H104" s="4" t="n">
        <v>350000</v>
      </c>
      <c r="I104" s="4" t="n">
        <v>507500000</v>
      </c>
    </row>
    <row r="105" ht="20" customHeight="1">
      <c r="A105" s="7" t="inlineStr">
        <is>
          <t>APBN</t>
        </is>
      </c>
      <c r="B105" s="8" t="inlineStr">
        <is>
          <t>Sarung</t>
        </is>
      </c>
      <c r="C105" s="7" t="inlineStr">
        <is>
          <t>Sandang</t>
        </is>
      </c>
      <c r="D105" s="9" t="n">
        <v>750</v>
      </c>
      <c r="E105" s="7" t="n"/>
      <c r="F105" s="10" t="n">
        <v>45958</v>
      </c>
      <c r="G105" s="11" t="inlineStr">
        <is>
          <t>BAST-2025-IN-0104</t>
        </is>
      </c>
      <c r="H105" s="9" t="n">
        <v>60000</v>
      </c>
      <c r="I105" s="9" t="n">
        <v>45000000</v>
      </c>
    </row>
    <row r="106" ht="20" customHeight="1">
      <c r="A106" s="2" t="inlineStr">
        <is>
          <t>APBD</t>
        </is>
      </c>
      <c r="B106" s="3" t="inlineStr">
        <is>
          <t>Pakaian Anak</t>
        </is>
      </c>
      <c r="C106" s="2" t="inlineStr">
        <is>
          <t>Sandang</t>
        </is>
      </c>
      <c r="D106" s="4" t="n">
        <v>1050</v>
      </c>
      <c r="E106" s="2" t="n"/>
      <c r="F106" s="5" t="n">
        <v>45958</v>
      </c>
      <c r="G106" s="6" t="inlineStr">
        <is>
          <t>BAST-2025-IN-0105</t>
        </is>
      </c>
      <c r="H106" s="4" t="n">
        <v>75000</v>
      </c>
      <c r="I106" s="4" t="n">
        <v>78750000</v>
      </c>
    </row>
    <row r="107" ht="20" customHeight="1">
      <c r="A107" s="7" t="inlineStr">
        <is>
          <t>APBN</t>
        </is>
      </c>
      <c r="B107" s="8" t="inlineStr">
        <is>
          <t>Matras</t>
        </is>
      </c>
      <c r="C107" s="7" t="inlineStr">
        <is>
          <t>Sandang</t>
        </is>
      </c>
      <c r="D107" s="9" t="n">
        <v>650</v>
      </c>
      <c r="E107" s="7" t="n"/>
      <c r="F107" s="10" t="n">
        <v>45963</v>
      </c>
      <c r="G107" s="11" t="inlineStr">
        <is>
          <t>BAST-2025-IN-0106</t>
        </is>
      </c>
      <c r="H107" s="9" t="n">
        <v>120000</v>
      </c>
      <c r="I107" s="9" t="n">
        <v>78000000</v>
      </c>
    </row>
    <row r="108" ht="20" customHeight="1">
      <c r="A108" s="2" t="inlineStr">
        <is>
          <t>APBD</t>
        </is>
      </c>
      <c r="B108" s="3" t="inlineStr">
        <is>
          <t>Air Mineral</t>
        </is>
      </c>
      <c r="C108" s="2" t="inlineStr">
        <is>
          <t>Pangan</t>
        </is>
      </c>
      <c r="D108" s="4" t="n">
        <v>2200</v>
      </c>
      <c r="E108" s="5" t="n">
        <v>46805</v>
      </c>
      <c r="F108" s="5" t="n">
        <v>45972</v>
      </c>
      <c r="G108" s="6" t="inlineStr">
        <is>
          <t>BAST-2025-IN-0107</t>
        </is>
      </c>
      <c r="H108" s="4" t="n">
        <v>30000</v>
      </c>
      <c r="I108" s="4" t="n">
        <v>66000000</v>
      </c>
    </row>
    <row r="109" ht="20" customHeight="1">
      <c r="A109" s="7" t="inlineStr">
        <is>
          <t>APBD</t>
        </is>
      </c>
      <c r="B109" s="8" t="inlineStr">
        <is>
          <t>Terpal</t>
        </is>
      </c>
      <c r="C109" s="7" t="inlineStr">
        <is>
          <t>Papan</t>
        </is>
      </c>
      <c r="D109" s="9" t="n">
        <v>600</v>
      </c>
      <c r="E109" s="7" t="n"/>
      <c r="F109" s="10" t="n">
        <v>45977</v>
      </c>
      <c r="G109" s="11" t="inlineStr">
        <is>
          <t>BAST-2025-IN-0108</t>
        </is>
      </c>
      <c r="H109" s="9" t="n">
        <v>150000</v>
      </c>
      <c r="I109" s="9" t="n">
        <v>90000000</v>
      </c>
    </row>
    <row r="110" ht="20" customHeight="1">
      <c r="A110" s="2" t="inlineStr">
        <is>
          <t>APBN</t>
        </is>
      </c>
      <c r="B110" s="3" t="inlineStr">
        <is>
          <t>Perahu Karet</t>
        </is>
      </c>
      <c r="C110" s="2" t="inlineStr">
        <is>
          <t>Logistik Lainnya</t>
        </is>
      </c>
      <c r="D110" s="4" t="n">
        <v>2</v>
      </c>
      <c r="E110" s="2" t="n"/>
      <c r="F110" s="5" t="n">
        <v>45980</v>
      </c>
      <c r="G110" s="6" t="inlineStr">
        <is>
          <t>BAST-2025-IN-0109</t>
        </is>
      </c>
      <c r="H110" s="4" t="n">
        <v>35000000</v>
      </c>
      <c r="I110" s="4" t="n">
        <v>70000000</v>
      </c>
    </row>
    <row r="111" ht="20" customHeight="1">
      <c r="A111" s="7" t="inlineStr">
        <is>
          <t>CSR</t>
        </is>
      </c>
      <c r="B111" s="8" t="inlineStr">
        <is>
          <t>Matras</t>
        </is>
      </c>
      <c r="C111" s="7" t="inlineStr">
        <is>
          <t>Sandang</t>
        </is>
      </c>
      <c r="D111" s="9" t="n">
        <v>850</v>
      </c>
      <c r="E111" s="7" t="n"/>
      <c r="F111" s="10" t="n">
        <v>45981</v>
      </c>
      <c r="G111" s="11" t="inlineStr">
        <is>
          <t>BAST-2025-IN-0110</t>
        </is>
      </c>
      <c r="H111" s="9" t="n">
        <v>120000</v>
      </c>
      <c r="I111" s="9" t="n">
        <v>102000000</v>
      </c>
    </row>
    <row r="112" ht="20" customHeight="1">
      <c r="A112" s="2" t="inlineStr">
        <is>
          <t>APBN</t>
        </is>
      </c>
      <c r="B112" s="3" t="inlineStr">
        <is>
          <t>Sarung</t>
        </is>
      </c>
      <c r="C112" s="2" t="inlineStr">
        <is>
          <t>Sandang</t>
        </is>
      </c>
      <c r="D112" s="4" t="n">
        <v>850</v>
      </c>
      <c r="E112" s="2" t="n"/>
      <c r="F112" s="5" t="n">
        <v>45989</v>
      </c>
      <c r="G112" s="6" t="inlineStr">
        <is>
          <t>BAST-2025-IN-0111</t>
        </is>
      </c>
      <c r="H112" s="4" t="n">
        <v>60000</v>
      </c>
      <c r="I112" s="4" t="n">
        <v>51000000</v>
      </c>
    </row>
    <row r="113" ht="20" customHeight="1">
      <c r="A113" s="7" t="inlineStr">
        <is>
          <t>APBN</t>
        </is>
      </c>
      <c r="B113" s="8" t="inlineStr">
        <is>
          <t>Selimut</t>
        </is>
      </c>
      <c r="C113" s="7" t="inlineStr">
        <is>
          <t>Sandang</t>
        </is>
      </c>
      <c r="D113" s="9" t="n">
        <v>700</v>
      </c>
      <c r="E113" s="7" t="n"/>
      <c r="F113" s="10" t="n">
        <v>45990</v>
      </c>
      <c r="G113" s="11" t="inlineStr">
        <is>
          <t>BAST-2025-IN-0112</t>
        </is>
      </c>
      <c r="H113" s="9" t="n">
        <v>85000</v>
      </c>
      <c r="I113" s="9" t="n">
        <v>59500000</v>
      </c>
    </row>
    <row r="114" ht="20" customHeight="1">
      <c r="A114" s="2" t="inlineStr">
        <is>
          <t>APBN</t>
        </is>
      </c>
      <c r="B114" s="3" t="inlineStr">
        <is>
          <t>Selimut</t>
        </is>
      </c>
      <c r="C114" s="2" t="inlineStr">
        <is>
          <t>Sandang</t>
        </is>
      </c>
      <c r="D114" s="4" t="n">
        <v>1450</v>
      </c>
      <c r="E114" s="2" t="n"/>
      <c r="F114" s="5" t="n">
        <v>46002</v>
      </c>
      <c r="G114" s="6" t="inlineStr">
        <is>
          <t>BAST-2025-IN-0113</t>
        </is>
      </c>
      <c r="H114" s="4" t="n">
        <v>85000</v>
      </c>
      <c r="I114" s="4" t="n">
        <v>123250000</v>
      </c>
    </row>
    <row r="115" ht="20" customHeight="1">
      <c r="A115" s="7" t="inlineStr">
        <is>
          <t>APBN</t>
        </is>
      </c>
      <c r="B115" s="8" t="inlineStr">
        <is>
          <t>Susu Formula</t>
        </is>
      </c>
      <c r="C115" s="7" t="inlineStr">
        <is>
          <t>Pangan</t>
        </is>
      </c>
      <c r="D115" s="9" t="n">
        <v>350</v>
      </c>
      <c r="E115" s="10" t="n">
        <v>46306</v>
      </c>
      <c r="F115" s="10" t="n">
        <v>46004</v>
      </c>
      <c r="G115" s="11" t="inlineStr">
        <is>
          <t>BAST-2025-IN-0114</t>
        </is>
      </c>
      <c r="H115" s="9" t="n">
        <v>65000</v>
      </c>
      <c r="I115" s="9" t="n">
        <v>22750000</v>
      </c>
    </row>
    <row r="116" ht="20" customHeight="1">
      <c r="A116" s="2" t="inlineStr">
        <is>
          <t>APBD</t>
        </is>
      </c>
      <c r="B116" s="3" t="inlineStr">
        <is>
          <t>Biskuit</t>
        </is>
      </c>
      <c r="C116" s="2" t="inlineStr">
        <is>
          <t>Pangan</t>
        </is>
      </c>
      <c r="D116" s="4" t="n">
        <v>1800</v>
      </c>
      <c r="E116" s="5" t="n">
        <v>46428</v>
      </c>
      <c r="F116" s="5" t="n">
        <v>46006</v>
      </c>
      <c r="G116" s="6" t="inlineStr">
        <is>
          <t>BAST-2025-IN-0115</t>
        </is>
      </c>
      <c r="H116" s="4" t="n">
        <v>25000</v>
      </c>
      <c r="I116" s="4" t="n">
        <v>45000000</v>
      </c>
    </row>
    <row r="117" ht="20" customHeight="1">
      <c r="A117" s="7" t="inlineStr">
        <is>
          <t>APBN</t>
        </is>
      </c>
      <c r="B117" s="8" t="inlineStr">
        <is>
          <t>Lauk Pauk</t>
        </is>
      </c>
      <c r="C117" s="7" t="inlineStr">
        <is>
          <t>Pangan</t>
        </is>
      </c>
      <c r="D117" s="9" t="n">
        <v>1250</v>
      </c>
      <c r="E117" s="10" t="n">
        <v>46593</v>
      </c>
      <c r="F117" s="10" t="n">
        <v>46006</v>
      </c>
      <c r="G117" s="11" t="inlineStr">
        <is>
          <t>BAST-2025-IN-0116</t>
        </is>
      </c>
      <c r="H117" s="9" t="n">
        <v>35000</v>
      </c>
      <c r="I117" s="9" t="n">
        <v>43750000</v>
      </c>
    </row>
    <row r="118" ht="20" customHeight="1">
      <c r="A118" s="2" t="inlineStr">
        <is>
          <t>APBD</t>
        </is>
      </c>
      <c r="B118" s="3" t="inlineStr">
        <is>
          <t>Makanan Siap Saji</t>
        </is>
      </c>
      <c r="C118" s="2" t="inlineStr">
        <is>
          <t>Pangan</t>
        </is>
      </c>
      <c r="D118" s="4" t="n">
        <v>1100</v>
      </c>
      <c r="E118" s="5" t="n">
        <v>46468</v>
      </c>
      <c r="F118" s="5" t="n">
        <v>46010</v>
      </c>
      <c r="G118" s="6" t="inlineStr">
        <is>
          <t>BAST-2025-IN-0117</t>
        </is>
      </c>
      <c r="H118" s="4" t="n">
        <v>45000</v>
      </c>
      <c r="I118" s="4" t="n">
        <v>49500000</v>
      </c>
    </row>
    <row r="119" ht="20" customHeight="1">
      <c r="A119" s="7" t="inlineStr">
        <is>
          <t>APBN</t>
        </is>
      </c>
      <c r="B119" s="8" t="inlineStr">
        <is>
          <t>Lauk Pauk</t>
        </is>
      </c>
      <c r="C119" s="7" t="inlineStr">
        <is>
          <t>Pangan</t>
        </is>
      </c>
      <c r="D119" s="9" t="n">
        <v>1350</v>
      </c>
      <c r="E119" s="7" t="n"/>
      <c r="F119" s="10" t="n">
        <v>46021</v>
      </c>
      <c r="G119" s="11" t="inlineStr">
        <is>
          <t>BAST-2025-IN-0118</t>
        </is>
      </c>
      <c r="H119" s="9" t="n">
        <v>35000</v>
      </c>
      <c r="I119" s="9" t="n">
        <v>47250000</v>
      </c>
    </row>
    <row r="120" ht="20" customHeight="1">
      <c r="A120" s="2" t="inlineStr">
        <is>
          <t>CSR</t>
        </is>
      </c>
      <c r="B120" s="3" t="inlineStr">
        <is>
          <t>Matras</t>
        </is>
      </c>
      <c r="C120" s="2" t="inlineStr">
        <is>
          <t>Sandang</t>
        </is>
      </c>
      <c r="D120" s="4" t="n">
        <v>850</v>
      </c>
      <c r="E120" s="2" t="n"/>
      <c r="F120" s="5" t="n">
        <v>46025</v>
      </c>
      <c r="G120" s="6" t="inlineStr">
        <is>
          <t>BAST-2026-IN-0001</t>
        </is>
      </c>
      <c r="H120" s="4" t="n">
        <v>120000</v>
      </c>
      <c r="I120" s="4" t="n">
        <v>102000000</v>
      </c>
    </row>
    <row r="121" ht="20" customHeight="1">
      <c r="A121" s="7" t="inlineStr">
        <is>
          <t>CSR</t>
        </is>
      </c>
      <c r="B121" s="8" t="inlineStr">
        <is>
          <t>Terpal</t>
        </is>
      </c>
      <c r="C121" s="7" t="inlineStr">
        <is>
          <t>Papan</t>
        </is>
      </c>
      <c r="D121" s="9" t="n">
        <v>850</v>
      </c>
      <c r="E121" s="7" t="n"/>
      <c r="F121" s="10" t="n">
        <v>46028</v>
      </c>
      <c r="G121" s="11" t="inlineStr">
        <is>
          <t>BAST-2026-IN-0002</t>
        </is>
      </c>
      <c r="H121" s="9" t="n">
        <v>150000</v>
      </c>
      <c r="I121" s="9" t="n">
        <v>127500000</v>
      </c>
    </row>
    <row r="122" ht="20" customHeight="1">
      <c r="A122" s="2" t="inlineStr">
        <is>
          <t>APBN</t>
        </is>
      </c>
      <c r="B122" s="3" t="inlineStr">
        <is>
          <t>Genset</t>
        </is>
      </c>
      <c r="C122" s="2" t="inlineStr">
        <is>
          <t>Logistik Lainnya</t>
        </is>
      </c>
      <c r="D122" s="4" t="n">
        <v>26</v>
      </c>
      <c r="E122" s="2" t="n"/>
      <c r="F122" s="5" t="n">
        <v>46028</v>
      </c>
      <c r="G122" s="6" t="inlineStr">
        <is>
          <t>BAST-2026-IN-0003</t>
        </is>
      </c>
      <c r="H122" s="4" t="n">
        <v>12500000</v>
      </c>
      <c r="I122" s="4" t="n">
        <v>325000000</v>
      </c>
    </row>
    <row r="123" ht="20" customHeight="1">
      <c r="A123" s="7" t="inlineStr">
        <is>
          <t>APBN</t>
        </is>
      </c>
      <c r="B123" s="8" t="inlineStr">
        <is>
          <t>Terpal</t>
        </is>
      </c>
      <c r="C123" s="7" t="inlineStr">
        <is>
          <t>Papan</t>
        </is>
      </c>
      <c r="D123" s="9" t="n">
        <v>1100</v>
      </c>
      <c r="E123" s="7" t="n"/>
      <c r="F123" s="10" t="n">
        <v>46029</v>
      </c>
      <c r="G123" s="11" t="inlineStr">
        <is>
          <t>BAST-2026-IN-0004</t>
        </is>
      </c>
      <c r="H123" s="9" t="n">
        <v>150000</v>
      </c>
      <c r="I123" s="9" t="n">
        <v>165000000</v>
      </c>
    </row>
    <row r="124" ht="20" customHeight="1">
      <c r="A124" s="2" t="inlineStr">
        <is>
          <t>APBN</t>
        </is>
      </c>
      <c r="B124" s="3" t="inlineStr">
        <is>
          <t>Terpal</t>
        </is>
      </c>
      <c r="C124" s="2" t="inlineStr">
        <is>
          <t>Papan</t>
        </is>
      </c>
      <c r="D124" s="4" t="n">
        <v>800</v>
      </c>
      <c r="E124" s="2" t="n"/>
      <c r="F124" s="5" t="n">
        <v>46031</v>
      </c>
      <c r="G124" s="6" t="inlineStr">
        <is>
          <t>BAST-2026-IN-0005</t>
        </is>
      </c>
      <c r="H124" s="4" t="n">
        <v>150000</v>
      </c>
      <c r="I124" s="4" t="n">
        <v>120000000</v>
      </c>
    </row>
    <row r="125" ht="20" customHeight="1">
      <c r="A125" s="7" t="inlineStr">
        <is>
          <t>APBD</t>
        </is>
      </c>
      <c r="B125" s="8" t="inlineStr">
        <is>
          <t>Pakaian Anak</t>
        </is>
      </c>
      <c r="C125" s="7" t="inlineStr">
        <is>
          <t>Sandang</t>
        </is>
      </c>
      <c r="D125" s="9" t="n">
        <v>1000</v>
      </c>
      <c r="E125" s="7" t="n"/>
      <c r="F125" s="10" t="n">
        <v>46037</v>
      </c>
      <c r="G125" s="11" t="inlineStr">
        <is>
          <t>BAST-2026-IN-0006</t>
        </is>
      </c>
      <c r="H125" s="9" t="n">
        <v>75000</v>
      </c>
      <c r="I125" s="9" t="n">
        <v>75000000</v>
      </c>
    </row>
    <row r="126" ht="20" customHeight="1">
      <c r="A126" s="2" t="inlineStr">
        <is>
          <t>APBN</t>
        </is>
      </c>
      <c r="B126" s="3" t="inlineStr">
        <is>
          <t>Genset</t>
        </is>
      </c>
      <c r="C126" s="2" t="inlineStr">
        <is>
          <t>Logistik Lainnya</t>
        </is>
      </c>
      <c r="D126" s="4" t="n">
        <v>22</v>
      </c>
      <c r="E126" s="2" t="n"/>
      <c r="F126" s="5" t="n">
        <v>46040</v>
      </c>
      <c r="G126" s="6" t="inlineStr">
        <is>
          <t>BAST-2026-IN-0007</t>
        </is>
      </c>
      <c r="H126" s="4" t="n">
        <v>12500000</v>
      </c>
      <c r="I126" s="4" t="n">
        <v>275000000</v>
      </c>
    </row>
    <row r="127" ht="20" customHeight="1">
      <c r="A127" s="7" t="inlineStr">
        <is>
          <t>CSR</t>
        </is>
      </c>
      <c r="B127" s="8" t="inlineStr">
        <is>
          <t>Chainsaw</t>
        </is>
      </c>
      <c r="C127" s="7" t="inlineStr">
        <is>
          <t>Logistik Lainnya</t>
        </is>
      </c>
      <c r="D127" s="9" t="n">
        <v>35</v>
      </c>
      <c r="E127" s="7" t="n"/>
      <c r="F127" s="10" t="n">
        <v>46040</v>
      </c>
      <c r="G127" s="11" t="inlineStr">
        <is>
          <t>BAST-2026-IN-0008</t>
        </is>
      </c>
      <c r="H127" s="9" t="n">
        <v>4500000</v>
      </c>
      <c r="I127" s="9" t="n">
        <v>157500000</v>
      </c>
    </row>
    <row r="128" ht="20" customHeight="1">
      <c r="A128" s="2" t="inlineStr">
        <is>
          <t>APBD</t>
        </is>
      </c>
      <c r="B128" s="3" t="inlineStr">
        <is>
          <t>Terpal</t>
        </is>
      </c>
      <c r="C128" s="2" t="inlineStr">
        <is>
          <t>Papan</t>
        </is>
      </c>
      <c r="D128" s="4" t="n">
        <v>600</v>
      </c>
      <c r="E128" s="2" t="n"/>
      <c r="F128" s="5" t="n">
        <v>46045</v>
      </c>
      <c r="G128" s="6" t="inlineStr">
        <is>
          <t>BAST-2026-IN-0009</t>
        </is>
      </c>
      <c r="H128" s="4" t="n">
        <v>150000</v>
      </c>
      <c r="I128" s="4" t="n">
        <v>90000000</v>
      </c>
    </row>
    <row r="129" ht="20" customHeight="1">
      <c r="A129" s="7" t="inlineStr">
        <is>
          <t>APBD</t>
        </is>
      </c>
      <c r="B129" s="8" t="inlineStr">
        <is>
          <t>Susu Formula</t>
        </is>
      </c>
      <c r="C129" s="7" t="inlineStr">
        <is>
          <t>Pangan</t>
        </is>
      </c>
      <c r="D129" s="9" t="n">
        <v>250</v>
      </c>
      <c r="E129" s="10" t="n">
        <v>46556</v>
      </c>
      <c r="F129" s="10" t="n">
        <v>46046</v>
      </c>
      <c r="G129" s="11" t="inlineStr">
        <is>
          <t>BAST-2026-IN-0010</t>
        </is>
      </c>
      <c r="H129" s="9" t="n">
        <v>65000</v>
      </c>
      <c r="I129" s="9" t="n">
        <v>16250000</v>
      </c>
    </row>
    <row r="130" ht="20" customHeight="1">
      <c r="A130" s="2" t="inlineStr">
        <is>
          <t>CSR</t>
        </is>
      </c>
      <c r="B130" s="3" t="inlineStr">
        <is>
          <t>Sanitasi Kit</t>
        </is>
      </c>
      <c r="C130" s="2" t="inlineStr">
        <is>
          <t>Logistik Lainnya</t>
        </is>
      </c>
      <c r="D130" s="4" t="n">
        <v>850</v>
      </c>
      <c r="E130" s="5" t="n">
        <v>46669</v>
      </c>
      <c r="F130" s="5" t="n">
        <v>46047</v>
      </c>
      <c r="G130" s="6" t="inlineStr">
        <is>
          <t>BAST-2026-IN-0011</t>
        </is>
      </c>
      <c r="H130" s="4" t="n">
        <v>250000</v>
      </c>
      <c r="I130" s="4" t="n">
        <v>212500000</v>
      </c>
    </row>
    <row r="131" ht="20" customHeight="1">
      <c r="A131" s="7" t="inlineStr">
        <is>
          <t>APBN</t>
        </is>
      </c>
      <c r="B131" s="8" t="inlineStr">
        <is>
          <t>Perahu Karet</t>
        </is>
      </c>
      <c r="C131" s="7" t="inlineStr">
        <is>
          <t>Logistik Lainnya</t>
        </is>
      </c>
      <c r="D131" s="9" t="n">
        <v>8</v>
      </c>
      <c r="E131" s="7" t="n"/>
      <c r="F131" s="10" t="n">
        <v>46047</v>
      </c>
      <c r="G131" s="11" t="inlineStr">
        <is>
          <t>BAST-2026-IN-0012</t>
        </is>
      </c>
      <c r="H131" s="9" t="n">
        <v>35000000</v>
      </c>
      <c r="I131" s="9" t="n">
        <v>280000000</v>
      </c>
    </row>
    <row r="132" ht="20" customHeight="1">
      <c r="A132" s="2" t="inlineStr">
        <is>
          <t>APBD</t>
        </is>
      </c>
      <c r="B132" s="3" t="inlineStr">
        <is>
          <t>Biskuit</t>
        </is>
      </c>
      <c r="C132" s="2" t="inlineStr">
        <is>
          <t>Pangan</t>
        </is>
      </c>
      <c r="D132" s="4" t="n">
        <v>1650</v>
      </c>
      <c r="E132" s="5" t="n">
        <v>46553</v>
      </c>
      <c r="F132" s="5" t="n">
        <v>46048</v>
      </c>
      <c r="G132" s="6" t="inlineStr">
        <is>
          <t>BAST-2026-IN-0013</t>
        </is>
      </c>
      <c r="H132" s="4" t="n">
        <v>25000</v>
      </c>
      <c r="I132" s="4" t="n">
        <v>41250000</v>
      </c>
    </row>
    <row r="133" ht="20" customHeight="1">
      <c r="A133" s="7" t="inlineStr">
        <is>
          <t>CSR</t>
        </is>
      </c>
      <c r="B133" s="8" t="inlineStr">
        <is>
          <t>Selimut</t>
        </is>
      </c>
      <c r="C133" s="7" t="inlineStr">
        <is>
          <t>Sandang</t>
        </is>
      </c>
      <c r="D133" s="9" t="n">
        <v>1250</v>
      </c>
      <c r="E133" s="7" t="n"/>
      <c r="F133" s="10" t="n">
        <v>46052</v>
      </c>
      <c r="G133" s="11" t="inlineStr">
        <is>
          <t>BAST-2026-IN-0014</t>
        </is>
      </c>
      <c r="H133" s="9" t="n">
        <v>85000</v>
      </c>
      <c r="I133" s="9" t="n">
        <v>106250000</v>
      </c>
    </row>
    <row r="134" ht="20" customHeight="1">
      <c r="A134" s="2" t="inlineStr">
        <is>
          <t>APBN</t>
        </is>
      </c>
      <c r="B134" s="3" t="inlineStr">
        <is>
          <t>Sarung</t>
        </is>
      </c>
      <c r="C134" s="2" t="inlineStr">
        <is>
          <t>Sandang</t>
        </is>
      </c>
      <c r="D134" s="4" t="n">
        <v>300</v>
      </c>
      <c r="E134" s="2" t="n"/>
      <c r="F134" s="5" t="n">
        <v>46063</v>
      </c>
      <c r="G134" s="6" t="inlineStr">
        <is>
          <t>BAST-2026-IN-0015</t>
        </is>
      </c>
      <c r="H134" s="4" t="n">
        <v>60000</v>
      </c>
      <c r="I134" s="4" t="n">
        <v>18000000</v>
      </c>
    </row>
    <row r="135" ht="20" customHeight="1">
      <c r="A135" s="7" t="inlineStr">
        <is>
          <t>APBD</t>
        </is>
      </c>
      <c r="B135" s="8" t="inlineStr">
        <is>
          <t>Perahu Karet</t>
        </is>
      </c>
      <c r="C135" s="7" t="inlineStr">
        <is>
          <t>Logistik Lainnya</t>
        </is>
      </c>
      <c r="D135" s="9" t="n">
        <v>19</v>
      </c>
      <c r="E135" s="7" t="n"/>
      <c r="F135" s="10" t="n">
        <v>46066</v>
      </c>
      <c r="G135" s="11" t="inlineStr">
        <is>
          <t>BAST-2026-IN-0016</t>
        </is>
      </c>
      <c r="H135" s="9" t="n">
        <v>35000000</v>
      </c>
      <c r="I135" s="9" t="n">
        <v>665000000</v>
      </c>
    </row>
    <row r="136" ht="20" customHeight="1">
      <c r="A136" s="2" t="inlineStr">
        <is>
          <t>APBN</t>
        </is>
      </c>
      <c r="B136" s="3" t="inlineStr">
        <is>
          <t>Perahu Karet</t>
        </is>
      </c>
      <c r="C136" s="2" t="inlineStr">
        <is>
          <t>Logistik Lainnya</t>
        </is>
      </c>
      <c r="D136" s="4" t="n">
        <v>22</v>
      </c>
      <c r="E136" s="2" t="n"/>
      <c r="F136" s="5" t="n">
        <v>46066</v>
      </c>
      <c r="G136" s="6" t="inlineStr">
        <is>
          <t>BAST-2026-IN-0017</t>
        </is>
      </c>
      <c r="H136" s="4" t="n">
        <v>35000000</v>
      </c>
      <c r="I136" s="4" t="n">
        <v>770000000</v>
      </c>
    </row>
    <row r="137" ht="20" customHeight="1">
      <c r="A137" s="7" t="inlineStr">
        <is>
          <t>APBD</t>
        </is>
      </c>
      <c r="B137" s="8" t="inlineStr">
        <is>
          <t>Seng</t>
        </is>
      </c>
      <c r="C137" s="7" t="inlineStr">
        <is>
          <t>Papan</t>
        </is>
      </c>
      <c r="D137" s="9" t="n">
        <v>1800</v>
      </c>
      <c r="E137" s="7" t="n"/>
      <c r="F137" s="10" t="n">
        <v>46068</v>
      </c>
      <c r="G137" s="11" t="inlineStr">
        <is>
          <t>BAST-2026-IN-0018</t>
        </is>
      </c>
      <c r="H137" s="9" t="n">
        <v>90000</v>
      </c>
      <c r="I137" s="9" t="n">
        <v>162000000</v>
      </c>
    </row>
    <row r="138" ht="20" customHeight="1">
      <c r="A138" s="2" t="inlineStr">
        <is>
          <t>APBN</t>
        </is>
      </c>
      <c r="B138" s="3" t="inlineStr">
        <is>
          <t>Sarung</t>
        </is>
      </c>
      <c r="C138" s="2" t="inlineStr">
        <is>
          <t>Sandang</t>
        </is>
      </c>
      <c r="D138" s="4" t="n">
        <v>400</v>
      </c>
      <c r="E138" s="2" t="n"/>
      <c r="F138" s="5" t="n">
        <v>46087</v>
      </c>
      <c r="G138" s="6" t="inlineStr">
        <is>
          <t>BAST-2026-IN-0019</t>
        </is>
      </c>
      <c r="H138" s="4" t="n">
        <v>60000</v>
      </c>
      <c r="I138" s="4" t="n">
        <v>24000000</v>
      </c>
    </row>
    <row r="139" ht="20" customHeight="1">
      <c r="A139" s="7" t="inlineStr">
        <is>
          <t>APBN</t>
        </is>
      </c>
      <c r="B139" s="8" t="inlineStr">
        <is>
          <t>Tenda Keluarga</t>
        </is>
      </c>
      <c r="C139" s="7" t="inlineStr">
        <is>
          <t>Papan</t>
        </is>
      </c>
      <c r="D139" s="9" t="n">
        <v>190</v>
      </c>
      <c r="E139" s="7" t="n"/>
      <c r="F139" s="10" t="n">
        <v>46090</v>
      </c>
      <c r="G139" s="11" t="inlineStr">
        <is>
          <t>BAST-2026-IN-0020</t>
        </is>
      </c>
      <c r="H139" s="9" t="n">
        <v>3200000</v>
      </c>
      <c r="I139" s="9" t="n">
        <v>608000000</v>
      </c>
    </row>
    <row r="140" ht="20" customHeight="1">
      <c r="A140" s="2" t="inlineStr">
        <is>
          <t>APBN</t>
        </is>
      </c>
      <c r="B140" s="3" t="inlineStr">
        <is>
          <t>Lauk Pauk</t>
        </is>
      </c>
      <c r="C140" s="2" t="inlineStr">
        <is>
          <t>Pangan</t>
        </is>
      </c>
      <c r="D140" s="4" t="n">
        <v>3400</v>
      </c>
      <c r="E140" s="5" t="n">
        <v>46702</v>
      </c>
      <c r="F140" s="5" t="n">
        <v>46090</v>
      </c>
      <c r="G140" s="6" t="inlineStr">
        <is>
          <t>BAST-2026-IN-0021</t>
        </is>
      </c>
      <c r="H140" s="4" t="n">
        <v>35000</v>
      </c>
      <c r="I140" s="4" t="n">
        <v>119000000</v>
      </c>
    </row>
    <row r="141" ht="20" customHeight="1">
      <c r="A141" s="7" t="inlineStr">
        <is>
          <t>CSR</t>
        </is>
      </c>
      <c r="B141" s="8" t="inlineStr">
        <is>
          <t>Air Mineral</t>
        </is>
      </c>
      <c r="C141" s="7" t="inlineStr">
        <is>
          <t>Pangan</t>
        </is>
      </c>
      <c r="D141" s="9" t="n">
        <v>3350</v>
      </c>
      <c r="E141" s="7" t="n"/>
      <c r="F141" s="10" t="n">
        <v>46090</v>
      </c>
      <c r="G141" s="11" t="inlineStr">
        <is>
          <t>BAST-2026-IN-0022</t>
        </is>
      </c>
      <c r="H141" s="9" t="n">
        <v>30000</v>
      </c>
      <c r="I141" s="9" t="n">
        <v>100500000</v>
      </c>
    </row>
    <row r="142" ht="20" customHeight="1">
      <c r="A142" s="2" t="inlineStr">
        <is>
          <t>APBD</t>
        </is>
      </c>
      <c r="B142" s="3" t="inlineStr">
        <is>
          <t>Lauk Pauk</t>
        </is>
      </c>
      <c r="C142" s="2" t="inlineStr">
        <is>
          <t>Pangan</t>
        </is>
      </c>
      <c r="D142" s="4" t="n">
        <v>2450</v>
      </c>
      <c r="E142" s="5" t="n">
        <v>46647</v>
      </c>
      <c r="F142" s="5" t="n">
        <v>46091</v>
      </c>
      <c r="G142" s="6" t="inlineStr">
        <is>
          <t>BAST-2026-IN-0023</t>
        </is>
      </c>
      <c r="H142" s="4" t="n">
        <v>35000</v>
      </c>
      <c r="I142" s="4" t="n">
        <v>85750000</v>
      </c>
    </row>
    <row r="143" ht="20" customHeight="1">
      <c r="A143" s="7" t="inlineStr">
        <is>
          <t>APBN</t>
        </is>
      </c>
      <c r="B143" s="8" t="inlineStr">
        <is>
          <t>Chainsaw</t>
        </is>
      </c>
      <c r="C143" s="7" t="inlineStr">
        <is>
          <t>Logistik Lainnya</t>
        </is>
      </c>
      <c r="D143" s="9" t="n">
        <v>49</v>
      </c>
      <c r="E143" s="7" t="n"/>
      <c r="F143" s="10" t="n">
        <v>46096</v>
      </c>
      <c r="G143" s="11" t="inlineStr">
        <is>
          <t>BAST-2026-IN-0024</t>
        </is>
      </c>
      <c r="H143" s="9" t="n">
        <v>4500000</v>
      </c>
      <c r="I143" s="9" t="n">
        <v>220500000</v>
      </c>
    </row>
    <row r="144" ht="20" customHeight="1">
      <c r="A144" s="2" t="inlineStr">
        <is>
          <t>APBN</t>
        </is>
      </c>
      <c r="B144" s="3" t="inlineStr">
        <is>
          <t>Makanan Siap Saji</t>
        </is>
      </c>
      <c r="C144" s="2" t="inlineStr">
        <is>
          <t>Pangan</t>
        </is>
      </c>
      <c r="D144" s="4" t="n">
        <v>2250</v>
      </c>
      <c r="E144" s="2" t="n"/>
      <c r="F144" s="5" t="n">
        <v>46103</v>
      </c>
      <c r="G144" s="6" t="inlineStr">
        <is>
          <t>BAST-2026-IN-0025</t>
        </is>
      </c>
      <c r="H144" s="4" t="n">
        <v>45000</v>
      </c>
      <c r="I144" s="4" t="n">
        <v>101250000</v>
      </c>
    </row>
    <row r="145" ht="20" customHeight="1">
      <c r="A145" s="7" t="inlineStr">
        <is>
          <t>APBD</t>
        </is>
      </c>
      <c r="B145" s="8" t="inlineStr">
        <is>
          <t>Family Kit</t>
        </is>
      </c>
      <c r="C145" s="7" t="inlineStr">
        <is>
          <t>Logistik Lainnya</t>
        </is>
      </c>
      <c r="D145" s="9" t="n">
        <v>1150</v>
      </c>
      <c r="E145" s="7" t="n"/>
      <c r="F145" s="10" t="n">
        <v>46106</v>
      </c>
      <c r="G145" s="11" t="inlineStr">
        <is>
          <t>BAST-2026-IN-0026</t>
        </is>
      </c>
      <c r="H145" s="9" t="n">
        <v>350000</v>
      </c>
      <c r="I145" s="9" t="n">
        <v>402500000</v>
      </c>
    </row>
    <row r="146" ht="20" customHeight="1">
      <c r="A146" s="2" t="inlineStr">
        <is>
          <t>CSR</t>
        </is>
      </c>
      <c r="B146" s="3" t="inlineStr">
        <is>
          <t>Lauk Pauk</t>
        </is>
      </c>
      <c r="C146" s="2" t="inlineStr">
        <is>
          <t>Pangan</t>
        </is>
      </c>
      <c r="D146" s="4" t="n">
        <v>1200</v>
      </c>
      <c r="E146" s="2" t="n"/>
      <c r="F146" s="5" t="n">
        <v>46117</v>
      </c>
      <c r="G146" s="6" t="inlineStr">
        <is>
          <t>BAST-2026-IN-0027</t>
        </is>
      </c>
      <c r="H146" s="4" t="n">
        <v>35000</v>
      </c>
      <c r="I146" s="4" t="n">
        <v>42000000</v>
      </c>
    </row>
    <row r="147" ht="20" customHeight="1">
      <c r="A147" s="7" t="inlineStr">
        <is>
          <t>APBD</t>
        </is>
      </c>
      <c r="B147" s="8" t="inlineStr">
        <is>
          <t>Susu Formula</t>
        </is>
      </c>
      <c r="C147" s="7" t="inlineStr">
        <is>
          <t>Pangan</t>
        </is>
      </c>
      <c r="D147" s="9" t="n">
        <v>800</v>
      </c>
      <c r="E147" s="10" t="n">
        <v>46270</v>
      </c>
      <c r="F147" s="10" t="n">
        <v>46120</v>
      </c>
      <c r="G147" s="11" t="inlineStr">
        <is>
          <t>BAST-2026-IN-0028</t>
        </is>
      </c>
      <c r="H147" s="9" t="n">
        <v>65000</v>
      </c>
      <c r="I147" s="9" t="n">
        <v>52000000</v>
      </c>
    </row>
    <row r="148" ht="20" customHeight="1">
      <c r="A148" s="2" t="inlineStr">
        <is>
          <t>APBD</t>
        </is>
      </c>
      <c r="B148" s="3" t="inlineStr">
        <is>
          <t>Matras</t>
        </is>
      </c>
      <c r="C148" s="2" t="inlineStr">
        <is>
          <t>Sandang</t>
        </is>
      </c>
      <c r="D148" s="4" t="n">
        <v>250</v>
      </c>
      <c r="E148" s="2" t="n"/>
      <c r="F148" s="5" t="n">
        <v>46122</v>
      </c>
      <c r="G148" s="6" t="inlineStr">
        <is>
          <t>BAST-2026-IN-0029</t>
        </is>
      </c>
      <c r="H148" s="4" t="n">
        <v>120000</v>
      </c>
      <c r="I148" s="4" t="n">
        <v>30000000</v>
      </c>
    </row>
    <row r="149" ht="20" customHeight="1">
      <c r="A149" s="7" t="inlineStr">
        <is>
          <t>CSR</t>
        </is>
      </c>
      <c r="B149" s="8" t="inlineStr">
        <is>
          <t>Lauk Pauk</t>
        </is>
      </c>
      <c r="C149" s="7" t="inlineStr">
        <is>
          <t>Pangan</t>
        </is>
      </c>
      <c r="D149" s="9" t="n">
        <v>1400</v>
      </c>
      <c r="E149" s="10" t="n">
        <v>46569</v>
      </c>
      <c r="F149" s="10" t="n">
        <v>46122</v>
      </c>
      <c r="G149" s="11" t="inlineStr">
        <is>
          <t>BAST-2026-IN-0030</t>
        </is>
      </c>
      <c r="H149" s="9" t="n">
        <v>35000</v>
      </c>
      <c r="I149" s="9" t="n">
        <v>49000000</v>
      </c>
    </row>
    <row r="150" ht="20" customHeight="1">
      <c r="A150" s="2" t="inlineStr">
        <is>
          <t>APBN</t>
        </is>
      </c>
      <c r="B150" s="3" t="inlineStr">
        <is>
          <t>Family Kit</t>
        </is>
      </c>
      <c r="C150" s="2" t="inlineStr">
        <is>
          <t>Logistik Lainnya</t>
        </is>
      </c>
      <c r="D150" s="4" t="n">
        <v>650</v>
      </c>
      <c r="E150" s="2" t="n"/>
      <c r="F150" s="5" t="n">
        <v>46127</v>
      </c>
      <c r="G150" s="6" t="inlineStr">
        <is>
          <t>BAST-2026-IN-0031</t>
        </is>
      </c>
      <c r="H150" s="4" t="n">
        <v>350000</v>
      </c>
      <c r="I150" s="4" t="n">
        <v>227500000</v>
      </c>
    </row>
    <row r="151" ht="20" customHeight="1">
      <c r="A151" s="7" t="inlineStr">
        <is>
          <t>APBD</t>
        </is>
      </c>
      <c r="B151" s="8" t="inlineStr">
        <is>
          <t>Perahu Karet</t>
        </is>
      </c>
      <c r="C151" s="7" t="inlineStr">
        <is>
          <t>Logistik Lainnya</t>
        </is>
      </c>
      <c r="D151" s="9" t="n">
        <v>16</v>
      </c>
      <c r="E151" s="7" t="n"/>
      <c r="F151" s="10" t="n">
        <v>46128</v>
      </c>
      <c r="G151" s="11" t="inlineStr">
        <is>
          <t>BAST-2026-IN-0032</t>
        </is>
      </c>
      <c r="H151" s="9" t="n">
        <v>35000000</v>
      </c>
      <c r="I151" s="9" t="n">
        <v>560000000</v>
      </c>
    </row>
    <row r="152" ht="20" customHeight="1">
      <c r="A152" s="2" t="inlineStr">
        <is>
          <t>APBD</t>
        </is>
      </c>
      <c r="B152" s="3" t="inlineStr">
        <is>
          <t>Beras</t>
        </is>
      </c>
      <c r="C152" s="2" t="inlineStr">
        <is>
          <t>Pangan</t>
        </is>
      </c>
      <c r="D152" s="4" t="n">
        <v>1800</v>
      </c>
      <c r="E152" s="5" t="n">
        <v>46645</v>
      </c>
      <c r="F152" s="5" t="n">
        <v>46131</v>
      </c>
      <c r="G152" s="6" t="inlineStr">
        <is>
          <t>BAST-2026-IN-0033</t>
        </is>
      </c>
      <c r="H152" s="4" t="n">
        <v>15000</v>
      </c>
      <c r="I152" s="4" t="n">
        <v>27000000</v>
      </c>
    </row>
    <row r="153" ht="20" customHeight="1">
      <c r="A153" s="7" t="inlineStr">
        <is>
          <t>APBN</t>
        </is>
      </c>
      <c r="B153" s="8" t="inlineStr">
        <is>
          <t>Tenda Keluarga</t>
        </is>
      </c>
      <c r="C153" s="7" t="inlineStr">
        <is>
          <t>Papan</t>
        </is>
      </c>
      <c r="D153" s="9" t="n">
        <v>140</v>
      </c>
      <c r="E153" s="7" t="n"/>
      <c r="F153" s="10" t="n">
        <v>46137</v>
      </c>
      <c r="G153" s="11" t="inlineStr">
        <is>
          <t>BAST-2026-IN-0034</t>
        </is>
      </c>
      <c r="H153" s="9" t="n">
        <v>3200000</v>
      </c>
      <c r="I153" s="9" t="n">
        <v>448000000</v>
      </c>
    </row>
    <row r="154" ht="20" customHeight="1">
      <c r="A154" s="2" t="inlineStr">
        <is>
          <t>APBN</t>
        </is>
      </c>
      <c r="B154" s="3" t="inlineStr">
        <is>
          <t>Family Kit</t>
        </is>
      </c>
      <c r="C154" s="2" t="inlineStr">
        <is>
          <t>Logistik Lainnya</t>
        </is>
      </c>
      <c r="D154" s="4" t="n">
        <v>1350</v>
      </c>
      <c r="E154" s="2" t="n"/>
      <c r="F154" s="5" t="n">
        <v>46144</v>
      </c>
      <c r="G154" s="6" t="inlineStr">
        <is>
          <t>BAST-2026-IN-0035</t>
        </is>
      </c>
      <c r="H154" s="4" t="n">
        <v>350000</v>
      </c>
      <c r="I154" s="4" t="n">
        <v>472500000</v>
      </c>
    </row>
    <row r="155" ht="20" customHeight="1">
      <c r="A155" s="7" t="inlineStr">
        <is>
          <t>APBN</t>
        </is>
      </c>
      <c r="B155" s="8" t="inlineStr">
        <is>
          <t>Pakaian Anak</t>
        </is>
      </c>
      <c r="C155" s="7" t="inlineStr">
        <is>
          <t>Sandang</t>
        </is>
      </c>
      <c r="D155" s="9" t="n">
        <v>450</v>
      </c>
      <c r="E155" s="7" t="n"/>
      <c r="F155" s="10" t="n">
        <v>46155</v>
      </c>
      <c r="G155" s="11" t="inlineStr">
        <is>
          <t>BAST-2026-IN-0036</t>
        </is>
      </c>
      <c r="H155" s="9" t="n">
        <v>75000</v>
      </c>
      <c r="I155" s="9" t="n">
        <v>33750000</v>
      </c>
    </row>
    <row r="156" ht="20" customHeight="1">
      <c r="A156" s="2" t="inlineStr">
        <is>
          <t>CSR</t>
        </is>
      </c>
      <c r="B156" s="3" t="inlineStr">
        <is>
          <t>Lauk Pauk</t>
        </is>
      </c>
      <c r="C156" s="2" t="inlineStr">
        <is>
          <t>Pangan</t>
        </is>
      </c>
      <c r="D156" s="4" t="n">
        <v>1050</v>
      </c>
      <c r="E156" s="2" t="n"/>
      <c r="F156" s="5" t="n">
        <v>46158</v>
      </c>
      <c r="G156" s="6" t="inlineStr">
        <is>
          <t>BAST-2026-IN-0037</t>
        </is>
      </c>
      <c r="H156" s="4" t="n">
        <v>35000</v>
      </c>
      <c r="I156" s="4" t="n">
        <v>36750000</v>
      </c>
    </row>
    <row r="157" ht="20" customHeight="1">
      <c r="A157" s="7" t="inlineStr">
        <is>
          <t>APBN</t>
        </is>
      </c>
      <c r="B157" s="8" t="inlineStr">
        <is>
          <t>Chainsaw</t>
        </is>
      </c>
      <c r="C157" s="7" t="inlineStr">
        <is>
          <t>Logistik Lainnya</t>
        </is>
      </c>
      <c r="D157" s="9" t="n">
        <v>31</v>
      </c>
      <c r="E157" s="7" t="n"/>
      <c r="F157" s="10" t="n">
        <v>46163</v>
      </c>
      <c r="G157" s="11" t="inlineStr">
        <is>
          <t>BAST-2026-IN-0038</t>
        </is>
      </c>
      <c r="H157" s="9" t="n">
        <v>4500000</v>
      </c>
      <c r="I157" s="9" t="n">
        <v>139500000</v>
      </c>
    </row>
    <row r="158" ht="20" customHeight="1">
      <c r="A158" s="2" t="inlineStr">
        <is>
          <t>CSR</t>
        </is>
      </c>
      <c r="B158" s="3" t="inlineStr">
        <is>
          <t>Sanitasi Kit</t>
        </is>
      </c>
      <c r="C158" s="2" t="inlineStr">
        <is>
          <t>Logistik Lainnya</t>
        </is>
      </c>
      <c r="D158" s="4" t="n">
        <v>550</v>
      </c>
      <c r="E158" s="2" t="n"/>
      <c r="F158" s="5" t="n">
        <v>46169</v>
      </c>
      <c r="G158" s="6" t="inlineStr">
        <is>
          <t>BAST-2026-IN-0039</t>
        </is>
      </c>
      <c r="H158" s="4" t="n">
        <v>250000</v>
      </c>
      <c r="I158" s="4" t="n">
        <v>137500000</v>
      </c>
    </row>
    <row r="159" ht="20" customHeight="1">
      <c r="A159" s="7" t="inlineStr">
        <is>
          <t>APBD</t>
        </is>
      </c>
      <c r="B159" s="8" t="inlineStr">
        <is>
          <t>Seng</t>
        </is>
      </c>
      <c r="C159" s="7" t="inlineStr">
        <is>
          <t>Papan</t>
        </is>
      </c>
      <c r="D159" s="9" t="n">
        <v>1100</v>
      </c>
      <c r="E159" s="7" t="n"/>
      <c r="F159" s="10" t="n">
        <v>46170</v>
      </c>
      <c r="G159" s="11" t="inlineStr">
        <is>
          <t>BAST-2026-IN-0040</t>
        </is>
      </c>
      <c r="H159" s="9" t="n">
        <v>90000</v>
      </c>
      <c r="I159" s="9" t="n">
        <v>99000000</v>
      </c>
    </row>
    <row r="160" ht="20" customHeight="1">
      <c r="A160" s="2" t="inlineStr">
        <is>
          <t>APBD</t>
        </is>
      </c>
      <c r="B160" s="3" t="inlineStr">
        <is>
          <t>Family Kit</t>
        </is>
      </c>
      <c r="C160" s="2" t="inlineStr">
        <is>
          <t>Logistik Lainnya</t>
        </is>
      </c>
      <c r="D160" s="4" t="n">
        <v>950</v>
      </c>
      <c r="E160" s="2" t="n"/>
      <c r="F160" s="5" t="n">
        <v>46175</v>
      </c>
      <c r="G160" s="6" t="inlineStr">
        <is>
          <t>BAST-2026-IN-0041</t>
        </is>
      </c>
      <c r="H160" s="4" t="n">
        <v>350000</v>
      </c>
      <c r="I160" s="4" t="n">
        <v>332500000</v>
      </c>
    </row>
    <row r="161" ht="20" customHeight="1">
      <c r="A161" s="7" t="inlineStr">
        <is>
          <t>APBD</t>
        </is>
      </c>
      <c r="B161" s="8" t="inlineStr">
        <is>
          <t>Family Kit</t>
        </is>
      </c>
      <c r="C161" s="7" t="inlineStr">
        <is>
          <t>Logistik Lainnya</t>
        </is>
      </c>
      <c r="D161" s="9" t="n">
        <v>1350</v>
      </c>
      <c r="E161" s="7" t="n"/>
      <c r="F161" s="10" t="n">
        <v>46177</v>
      </c>
      <c r="G161" s="11" t="inlineStr">
        <is>
          <t>BAST-2026-IN-0042</t>
        </is>
      </c>
      <c r="H161" s="9" t="n">
        <v>350000</v>
      </c>
      <c r="I161" s="9" t="n">
        <v>472500000</v>
      </c>
    </row>
    <row r="162" ht="20" customHeight="1">
      <c r="A162" s="2" t="inlineStr">
        <is>
          <t>APBN</t>
        </is>
      </c>
      <c r="B162" s="3" t="inlineStr">
        <is>
          <t>Sanitasi Kit</t>
        </is>
      </c>
      <c r="C162" s="2" t="inlineStr">
        <is>
          <t>Logistik Lainnya</t>
        </is>
      </c>
      <c r="D162" s="4" t="n">
        <v>300</v>
      </c>
      <c r="E162" s="2" t="n"/>
      <c r="F162" s="5" t="n">
        <v>46177</v>
      </c>
      <c r="G162" s="6" t="inlineStr">
        <is>
          <t>BAST-2026-IN-0043</t>
        </is>
      </c>
      <c r="H162" s="4" t="n">
        <v>250000</v>
      </c>
      <c r="I162" s="4" t="n">
        <v>75000000</v>
      </c>
    </row>
    <row r="163" ht="20" customHeight="1">
      <c r="A163" s="7" t="inlineStr">
        <is>
          <t>APBN</t>
        </is>
      </c>
      <c r="B163" s="8" t="inlineStr">
        <is>
          <t>Makanan Siap Saji</t>
        </is>
      </c>
      <c r="C163" s="7" t="inlineStr">
        <is>
          <t>Pangan</t>
        </is>
      </c>
      <c r="D163" s="9" t="n">
        <v>2650</v>
      </c>
      <c r="E163" s="7" t="n"/>
      <c r="F163" s="10" t="n">
        <v>46179</v>
      </c>
      <c r="G163" s="11" t="inlineStr">
        <is>
          <t>BAST-2026-IN-0044</t>
        </is>
      </c>
      <c r="H163" s="9" t="n">
        <v>45000</v>
      </c>
      <c r="I163" s="9" t="n">
        <v>119250000</v>
      </c>
    </row>
    <row r="164" ht="20" customHeight="1">
      <c r="A164" s="2" t="inlineStr">
        <is>
          <t>APBN</t>
        </is>
      </c>
      <c r="B164" s="3" t="inlineStr">
        <is>
          <t>Susu Formula</t>
        </is>
      </c>
      <c r="C164" s="2" t="inlineStr">
        <is>
          <t>Pangan</t>
        </is>
      </c>
      <c r="D164" s="4" t="n">
        <v>450</v>
      </c>
      <c r="E164" s="5" t="n">
        <v>46313</v>
      </c>
      <c r="F164" s="5" t="n">
        <v>46187</v>
      </c>
      <c r="G164" s="6" t="inlineStr">
        <is>
          <t>BAST-2026-IN-0045</t>
        </is>
      </c>
      <c r="H164" s="4" t="n">
        <v>65000</v>
      </c>
      <c r="I164" s="4" t="n">
        <v>29250000</v>
      </c>
    </row>
    <row r="165" ht="20" customHeight="1">
      <c r="A165" s="7" t="inlineStr">
        <is>
          <t>APBD</t>
        </is>
      </c>
      <c r="B165" s="8" t="inlineStr">
        <is>
          <t>Sanitasi Kit</t>
        </is>
      </c>
      <c r="C165" s="7" t="inlineStr">
        <is>
          <t>Logistik Lainnya</t>
        </is>
      </c>
      <c r="D165" s="9" t="n">
        <v>1050</v>
      </c>
      <c r="E165" s="10" t="n">
        <v>46798</v>
      </c>
      <c r="F165" s="10" t="n">
        <v>46198</v>
      </c>
      <c r="G165" s="11" t="inlineStr">
        <is>
          <t>BAST-2026-IN-0046</t>
        </is>
      </c>
      <c r="H165" s="9" t="n">
        <v>250000</v>
      </c>
      <c r="I165" s="9" t="n">
        <v>262500000</v>
      </c>
    </row>
    <row r="166" ht="20" customHeight="1">
      <c r="A166" s="2" t="inlineStr">
        <is>
          <t>APBD</t>
        </is>
      </c>
      <c r="B166" s="3" t="inlineStr">
        <is>
          <t>Sarung</t>
        </is>
      </c>
      <c r="C166" s="2" t="inlineStr">
        <is>
          <t>Sandang</t>
        </is>
      </c>
      <c r="D166" s="4" t="n">
        <v>800</v>
      </c>
      <c r="E166" s="2" t="n"/>
      <c r="F166" s="5" t="n">
        <v>46199</v>
      </c>
      <c r="G166" s="6" t="inlineStr">
        <is>
          <t>BAST-2026-IN-0047</t>
        </is>
      </c>
      <c r="H166" s="4" t="n">
        <v>60000</v>
      </c>
      <c r="I166" s="4" t="n">
        <v>48000000</v>
      </c>
    </row>
    <row r="167" ht="20" customHeight="1">
      <c r="A167" s="7" t="inlineStr">
        <is>
          <t>APBN</t>
        </is>
      </c>
      <c r="B167" s="8" t="inlineStr">
        <is>
          <t>Biskuit</t>
        </is>
      </c>
      <c r="C167" s="7" t="inlineStr">
        <is>
          <t>Pangan</t>
        </is>
      </c>
      <c r="D167" s="9" t="n">
        <v>2850</v>
      </c>
      <c r="E167" s="10" t="n">
        <v>46666</v>
      </c>
      <c r="F167" s="10" t="n">
        <v>46201</v>
      </c>
      <c r="G167" s="11" t="inlineStr">
        <is>
          <t>BAST-2026-IN-0048</t>
        </is>
      </c>
      <c r="H167" s="9" t="n">
        <v>25000</v>
      </c>
      <c r="I167" s="9" t="n">
        <v>71250000</v>
      </c>
    </row>
    <row r="168" ht="20" customHeight="1">
      <c r="A168" s="2" t="inlineStr">
        <is>
          <t>APBD</t>
        </is>
      </c>
      <c r="B168" s="3" t="inlineStr">
        <is>
          <t>Pakaian Dewasa</t>
        </is>
      </c>
      <c r="C168" s="2" t="inlineStr">
        <is>
          <t>Sandang</t>
        </is>
      </c>
      <c r="D168" s="4" t="n">
        <v>2400</v>
      </c>
      <c r="E168" s="2" t="n"/>
      <c r="F168" s="5" t="n">
        <v>46203</v>
      </c>
      <c r="G168" s="6" t="inlineStr">
        <is>
          <t>BAST-2026-IN-0049</t>
        </is>
      </c>
      <c r="H168" s="4" t="n">
        <v>95000</v>
      </c>
      <c r="I168" s="4" t="n">
        <v>228000000</v>
      </c>
    </row>
    <row r="169" ht="20" customHeight="1">
      <c r="A169" s="7" t="inlineStr">
        <is>
          <t>APBN</t>
        </is>
      </c>
      <c r="B169" s="8" t="inlineStr">
        <is>
          <t>Pakaian Anak</t>
        </is>
      </c>
      <c r="C169" s="7" t="inlineStr">
        <is>
          <t>Sandang</t>
        </is>
      </c>
      <c r="D169" s="9" t="n">
        <v>650</v>
      </c>
      <c r="E169" s="7" t="n"/>
      <c r="F169" s="10" t="n">
        <v>46204</v>
      </c>
      <c r="G169" s="11" t="inlineStr">
        <is>
          <t>BAST-2026-IN-0050</t>
        </is>
      </c>
      <c r="H169" s="9" t="n">
        <v>75000</v>
      </c>
      <c r="I169" s="9" t="n">
        <v>48750000</v>
      </c>
    </row>
    <row r="170" ht="20" customHeight="1">
      <c r="A170" s="2" t="inlineStr">
        <is>
          <t>APBN</t>
        </is>
      </c>
      <c r="B170" s="3" t="inlineStr">
        <is>
          <t>Sarung</t>
        </is>
      </c>
      <c r="C170" s="2" t="inlineStr">
        <is>
          <t>Sandang</t>
        </is>
      </c>
      <c r="D170" s="4" t="n">
        <v>150</v>
      </c>
      <c r="E170" s="2" t="n"/>
      <c r="F170" s="5" t="n">
        <v>46207</v>
      </c>
      <c r="G170" s="6" t="inlineStr">
        <is>
          <t>BAST-2026-IN-0051</t>
        </is>
      </c>
      <c r="H170" s="4" t="n">
        <v>60000</v>
      </c>
      <c r="I170" s="4" t="n">
        <v>9000000</v>
      </c>
    </row>
    <row r="171" ht="20" customHeight="1">
      <c r="A171" s="7" t="inlineStr">
        <is>
          <t>APBN</t>
        </is>
      </c>
      <c r="B171" s="8" t="inlineStr">
        <is>
          <t>Lauk Pauk</t>
        </is>
      </c>
      <c r="C171" s="7" t="inlineStr">
        <is>
          <t>Pangan</t>
        </is>
      </c>
      <c r="D171" s="9" t="n">
        <v>2750</v>
      </c>
      <c r="E171" s="10" t="n">
        <v>46757</v>
      </c>
      <c r="F171" s="10" t="n">
        <v>46207</v>
      </c>
      <c r="G171" s="11" t="inlineStr">
        <is>
          <t>BAST-2026-IN-0052</t>
        </is>
      </c>
      <c r="H171" s="9" t="n">
        <v>35000</v>
      </c>
      <c r="I171" s="9" t="n">
        <v>96250000</v>
      </c>
    </row>
    <row r="172" ht="20" customHeight="1">
      <c r="A172" s="2" t="inlineStr">
        <is>
          <t>APBD</t>
        </is>
      </c>
      <c r="B172" s="3" t="inlineStr">
        <is>
          <t>Biskuit</t>
        </is>
      </c>
      <c r="C172" s="2" t="inlineStr">
        <is>
          <t>Pangan</t>
        </is>
      </c>
      <c r="D172" s="4" t="n">
        <v>2300</v>
      </c>
      <c r="E172" s="5" t="n">
        <v>46593</v>
      </c>
      <c r="F172" s="5" t="n">
        <v>46209</v>
      </c>
      <c r="G172" s="6" t="inlineStr">
        <is>
          <t>BAST-2026-IN-0053</t>
        </is>
      </c>
      <c r="H172" s="4" t="n">
        <v>25000</v>
      </c>
      <c r="I172" s="4" t="n">
        <v>57500000</v>
      </c>
    </row>
    <row r="173" ht="20" customHeight="1">
      <c r="A173" s="7" t="inlineStr">
        <is>
          <t>APBD</t>
        </is>
      </c>
      <c r="B173" s="8" t="inlineStr">
        <is>
          <t>Air Mineral</t>
        </is>
      </c>
      <c r="C173" s="7" t="inlineStr">
        <is>
          <t>Pangan</t>
        </is>
      </c>
      <c r="D173" s="9" t="n">
        <v>5400</v>
      </c>
      <c r="E173" s="10" t="n">
        <v>46321</v>
      </c>
      <c r="F173" s="10" t="n">
        <v>46210</v>
      </c>
      <c r="G173" s="11" t="inlineStr">
        <is>
          <t>BAST-2026-IN-0054</t>
        </is>
      </c>
      <c r="H173" s="9" t="n">
        <v>30000</v>
      </c>
      <c r="I173" s="9" t="n">
        <v>162000000</v>
      </c>
    </row>
    <row r="174" ht="20" customHeight="1">
      <c r="A174" s="2" t="inlineStr">
        <is>
          <t>CSR</t>
        </is>
      </c>
      <c r="B174" s="3" t="inlineStr">
        <is>
          <t>Family Kit</t>
        </is>
      </c>
      <c r="C174" s="2" t="inlineStr">
        <is>
          <t>Logistik Lainnya</t>
        </is>
      </c>
      <c r="D174" s="4" t="n">
        <v>100</v>
      </c>
      <c r="E174" s="2" t="n"/>
      <c r="F174" s="5" t="n">
        <v>46210</v>
      </c>
      <c r="G174" s="6" t="inlineStr">
        <is>
          <t>BAST-2026-IN-0055</t>
        </is>
      </c>
      <c r="H174" s="4" t="n">
        <v>350000</v>
      </c>
      <c r="I174" s="4" t="n">
        <v>35000000</v>
      </c>
    </row>
    <row r="175" ht="20" customHeight="1">
      <c r="A175" s="7" t="inlineStr">
        <is>
          <t>APBD</t>
        </is>
      </c>
      <c r="B175" s="8" t="inlineStr">
        <is>
          <t>Family Kit</t>
        </is>
      </c>
      <c r="C175" s="7" t="inlineStr">
        <is>
          <t>Logistik Lainnya</t>
        </is>
      </c>
      <c r="D175" s="9" t="n">
        <v>150</v>
      </c>
      <c r="E175" s="7" t="n"/>
      <c r="F175" s="10" t="n">
        <v>46216</v>
      </c>
      <c r="G175" s="11" t="inlineStr">
        <is>
          <t>BAST-2026-IN-0056</t>
        </is>
      </c>
      <c r="H175" s="9" t="n">
        <v>350000</v>
      </c>
      <c r="I175" s="9" t="n">
        <v>52500000</v>
      </c>
    </row>
    <row r="176" ht="20" customHeight="1">
      <c r="A176" s="2" t="inlineStr">
        <is>
          <t>APBN</t>
        </is>
      </c>
      <c r="B176" s="3" t="inlineStr">
        <is>
          <t>Perahu Karet</t>
        </is>
      </c>
      <c r="C176" s="2" t="inlineStr">
        <is>
          <t>Logistik Lainnya</t>
        </is>
      </c>
      <c r="D176" s="4" t="n">
        <v>18</v>
      </c>
      <c r="E176" s="2" t="n"/>
      <c r="F176" s="5" t="n">
        <v>46216</v>
      </c>
      <c r="G176" s="6" t="inlineStr">
        <is>
          <t>BAST-2026-IN-0057</t>
        </is>
      </c>
      <c r="H176" s="4" t="n">
        <v>35000000</v>
      </c>
      <c r="I176" s="4" t="n">
        <v>630000000</v>
      </c>
    </row>
    <row r="177" ht="20" customHeight="1">
      <c r="A177" s="7" t="inlineStr">
        <is>
          <t>APBD</t>
        </is>
      </c>
      <c r="B177" s="8" t="inlineStr">
        <is>
          <t>Biskuit</t>
        </is>
      </c>
      <c r="C177" s="7" t="inlineStr">
        <is>
          <t>Pangan</t>
        </is>
      </c>
      <c r="D177" s="9" t="n">
        <v>1000</v>
      </c>
      <c r="E177" s="7" t="n"/>
      <c r="F177" s="10" t="n">
        <v>46220</v>
      </c>
      <c r="G177" s="11" t="inlineStr">
        <is>
          <t>BAST-2026-IN-0058</t>
        </is>
      </c>
      <c r="H177" s="9" t="n">
        <v>25000</v>
      </c>
      <c r="I177" s="9" t="n">
        <v>25000000</v>
      </c>
    </row>
    <row r="178" ht="20" customHeight="1">
      <c r="A178" s="2" t="inlineStr">
        <is>
          <t>APBD</t>
        </is>
      </c>
      <c r="B178" s="3" t="inlineStr">
        <is>
          <t>Perahu Karet</t>
        </is>
      </c>
      <c r="C178" s="2" t="inlineStr">
        <is>
          <t>Logistik Lainnya</t>
        </is>
      </c>
      <c r="D178" s="4" t="n">
        <v>4</v>
      </c>
      <c r="E178" s="2" t="n"/>
      <c r="F178" s="5" t="n">
        <v>46223</v>
      </c>
      <c r="G178" s="6" t="inlineStr">
        <is>
          <t>BAST-2026-IN-0059</t>
        </is>
      </c>
      <c r="H178" s="4" t="n">
        <v>35000000</v>
      </c>
      <c r="I178" s="4" t="n">
        <v>140000000</v>
      </c>
    </row>
    <row r="179" ht="20" customHeight="1">
      <c r="A179" s="7" t="inlineStr">
        <is>
          <t>APBD</t>
        </is>
      </c>
      <c r="B179" s="8" t="inlineStr">
        <is>
          <t>Tenda Pengungsi</t>
        </is>
      </c>
      <c r="C179" s="7" t="inlineStr">
        <is>
          <t>Papan</t>
        </is>
      </c>
      <c r="D179" s="9" t="n">
        <v>110</v>
      </c>
      <c r="E179" s="7" t="n"/>
      <c r="F179" s="10" t="n">
        <v>46224</v>
      </c>
      <c r="G179" s="11" t="inlineStr">
        <is>
          <t>BAST-2026-IN-0060</t>
        </is>
      </c>
      <c r="H179" s="9" t="n">
        <v>8500000</v>
      </c>
      <c r="I179" s="9" t="n">
        <v>935000000</v>
      </c>
    </row>
    <row r="180" ht="20" customHeight="1">
      <c r="A180" s="2" t="inlineStr">
        <is>
          <t>APBD</t>
        </is>
      </c>
      <c r="B180" s="3" t="inlineStr">
        <is>
          <t>Air Mineral</t>
        </is>
      </c>
      <c r="C180" s="2" t="inlineStr">
        <is>
          <t>Pangan</t>
        </is>
      </c>
      <c r="D180" s="4" t="n">
        <v>5950</v>
      </c>
      <c r="E180" s="5" t="n">
        <v>47074</v>
      </c>
      <c r="F180" s="5" t="n">
        <v>46225</v>
      </c>
      <c r="G180" s="6" t="inlineStr">
        <is>
          <t>BAST-2026-IN-0061</t>
        </is>
      </c>
      <c r="H180" s="4" t="n">
        <v>30000</v>
      </c>
      <c r="I180" s="4" t="n">
        <v>178500000</v>
      </c>
    </row>
    <row r="181" ht="20" customHeight="1">
      <c r="A181" s="7" t="inlineStr">
        <is>
          <t>APBD</t>
        </is>
      </c>
      <c r="B181" s="8" t="inlineStr">
        <is>
          <t>Lauk Pauk</t>
        </is>
      </c>
      <c r="C181" s="7" t="inlineStr">
        <is>
          <t>Pangan</t>
        </is>
      </c>
      <c r="D181" s="9" t="n">
        <v>3650</v>
      </c>
      <c r="E181" s="7" t="n"/>
      <c r="F181" s="10" t="n">
        <v>46228</v>
      </c>
      <c r="G181" s="11" t="inlineStr">
        <is>
          <t>BAST-2026-IN-0062</t>
        </is>
      </c>
      <c r="H181" s="9" t="n">
        <v>35000</v>
      </c>
      <c r="I181" s="9" t="n">
        <v>127750000</v>
      </c>
    </row>
    <row r="182" ht="20" customHeight="1">
      <c r="A182" s="2" t="inlineStr">
        <is>
          <t>CSR</t>
        </is>
      </c>
      <c r="B182" s="3" t="inlineStr">
        <is>
          <t>Matras</t>
        </is>
      </c>
      <c r="C182" s="2" t="inlineStr">
        <is>
          <t>Sandang</t>
        </is>
      </c>
      <c r="D182" s="4" t="n">
        <v>1050</v>
      </c>
      <c r="E182" s="2" t="n"/>
      <c r="F182" s="5" t="n">
        <v>46232</v>
      </c>
      <c r="G182" s="6" t="inlineStr">
        <is>
          <t>BAST-2026-IN-0063</t>
        </is>
      </c>
      <c r="H182" s="4" t="n">
        <v>120000</v>
      </c>
      <c r="I182" s="4" t="n">
        <v>126000000</v>
      </c>
    </row>
    <row r="183" ht="20" customHeight="1">
      <c r="A183" s="7" t="inlineStr">
        <is>
          <t>APBN</t>
        </is>
      </c>
      <c r="B183" s="8" t="inlineStr">
        <is>
          <t>Air Mineral</t>
        </is>
      </c>
      <c r="C183" s="7" t="inlineStr">
        <is>
          <t>Pangan</t>
        </is>
      </c>
      <c r="D183" s="9" t="n">
        <v>2550</v>
      </c>
      <c r="E183" s="10" t="n">
        <v>47077</v>
      </c>
      <c r="F183" s="10" t="n">
        <v>46232</v>
      </c>
      <c r="G183" s="11" t="inlineStr">
        <is>
          <t>BAST-2026-IN-0064</t>
        </is>
      </c>
      <c r="H183" s="9" t="n">
        <v>30000</v>
      </c>
      <c r="I183" s="9" t="n">
        <v>76500000</v>
      </c>
    </row>
    <row r="184" ht="20" customHeight="1">
      <c r="A184" s="2" t="inlineStr">
        <is>
          <t>CSR</t>
        </is>
      </c>
      <c r="B184" s="3" t="inlineStr">
        <is>
          <t>Selimut</t>
        </is>
      </c>
      <c r="C184" s="2" t="inlineStr">
        <is>
          <t>Sandang</t>
        </is>
      </c>
      <c r="D184" s="4" t="n">
        <v>1500</v>
      </c>
      <c r="E184" s="2" t="n"/>
      <c r="F184" s="5" t="n">
        <v>46238</v>
      </c>
      <c r="G184" s="6" t="inlineStr">
        <is>
          <t>BAST-2026-IN-0065</t>
        </is>
      </c>
      <c r="H184" s="4" t="n">
        <v>85000</v>
      </c>
      <c r="I184" s="4" t="n">
        <v>127500000</v>
      </c>
    </row>
    <row r="185" ht="20" customHeight="1">
      <c r="A185" s="7" t="inlineStr">
        <is>
          <t>CSR</t>
        </is>
      </c>
      <c r="B185" s="8" t="inlineStr">
        <is>
          <t>Seng</t>
        </is>
      </c>
      <c r="C185" s="7" t="inlineStr">
        <is>
          <t>Papan</t>
        </is>
      </c>
      <c r="D185" s="9" t="n">
        <v>1000</v>
      </c>
      <c r="E185" s="7" t="n"/>
      <c r="F185" s="10" t="n">
        <v>46238</v>
      </c>
      <c r="G185" s="11" t="inlineStr">
        <is>
          <t>BAST-2026-IN-0066</t>
        </is>
      </c>
      <c r="H185" s="9" t="n">
        <v>90000</v>
      </c>
      <c r="I185" s="9" t="n">
        <v>90000000</v>
      </c>
    </row>
    <row r="186" ht="20" customHeight="1">
      <c r="A186" s="2" t="inlineStr">
        <is>
          <t>APBN</t>
        </is>
      </c>
      <c r="B186" s="3" t="inlineStr">
        <is>
          <t>Makanan Siap Saji</t>
        </is>
      </c>
      <c r="C186" s="2" t="inlineStr">
        <is>
          <t>Pangan</t>
        </is>
      </c>
      <c r="D186" s="4" t="n">
        <v>4700</v>
      </c>
      <c r="E186" s="5" t="n">
        <v>46809</v>
      </c>
      <c r="F186" s="5" t="n">
        <v>46249</v>
      </c>
      <c r="G186" s="6" t="inlineStr">
        <is>
          <t>BAST-2026-IN-0067</t>
        </is>
      </c>
      <c r="H186" s="4" t="n">
        <v>45000</v>
      </c>
      <c r="I186" s="4" t="n">
        <v>211500000</v>
      </c>
    </row>
    <row r="187" ht="20" customHeight="1">
      <c r="A187" s="7" t="inlineStr">
        <is>
          <t>APBN</t>
        </is>
      </c>
      <c r="B187" s="8" t="inlineStr">
        <is>
          <t>Makanan Siap Saji</t>
        </is>
      </c>
      <c r="C187" s="7" t="inlineStr">
        <is>
          <t>Pangan</t>
        </is>
      </c>
      <c r="D187" s="9" t="n">
        <v>2650</v>
      </c>
      <c r="E187" s="10" t="n">
        <v>46813</v>
      </c>
      <c r="F187" s="10" t="n">
        <v>46255</v>
      </c>
      <c r="G187" s="11" t="inlineStr">
        <is>
          <t>BAST-2026-IN-0068</t>
        </is>
      </c>
      <c r="H187" s="9" t="n">
        <v>45000</v>
      </c>
      <c r="I187" s="9" t="n">
        <v>119250000</v>
      </c>
    </row>
    <row r="188" ht="20" customHeight="1">
      <c r="A188" s="2" t="inlineStr">
        <is>
          <t>APBD</t>
        </is>
      </c>
      <c r="B188" s="3" t="inlineStr">
        <is>
          <t>Pakaian Dewasa</t>
        </is>
      </c>
      <c r="C188" s="2" t="inlineStr">
        <is>
          <t>Sandang</t>
        </is>
      </c>
      <c r="D188" s="4" t="n">
        <v>300</v>
      </c>
      <c r="E188" s="2" t="n"/>
      <c r="F188" s="5" t="n">
        <v>46256</v>
      </c>
      <c r="G188" s="6" t="inlineStr">
        <is>
          <t>BAST-2026-IN-0069</t>
        </is>
      </c>
      <c r="H188" s="4" t="n">
        <v>95000</v>
      </c>
      <c r="I188" s="4" t="n">
        <v>28500000</v>
      </c>
    </row>
    <row r="189" ht="20" customHeight="1">
      <c r="A189" s="7" t="inlineStr">
        <is>
          <t>CSR</t>
        </is>
      </c>
      <c r="B189" s="8" t="inlineStr">
        <is>
          <t>Susu Formula</t>
        </is>
      </c>
      <c r="C189" s="7" t="inlineStr">
        <is>
          <t>Pangan</t>
        </is>
      </c>
      <c r="D189" s="9" t="n">
        <v>400</v>
      </c>
      <c r="E189" s="10" t="n">
        <v>46237</v>
      </c>
      <c r="F189" s="10" t="n">
        <v>46260</v>
      </c>
      <c r="G189" s="11" t="inlineStr">
        <is>
          <t>BAST-2026-IN-0070</t>
        </is>
      </c>
      <c r="H189" s="9" t="n">
        <v>65000</v>
      </c>
      <c r="I189" s="9" t="n">
        <v>26000000</v>
      </c>
    </row>
    <row r="190" ht="20" customHeight="1">
      <c r="A190" s="2" t="inlineStr">
        <is>
          <t>APBN</t>
        </is>
      </c>
      <c r="B190" s="3" t="inlineStr">
        <is>
          <t>Pakaian Dewasa</t>
        </is>
      </c>
      <c r="C190" s="2" t="inlineStr">
        <is>
          <t>Sandang</t>
        </is>
      </c>
      <c r="D190" s="4" t="n">
        <v>2050</v>
      </c>
      <c r="E190" s="2" t="n"/>
      <c r="F190" s="5" t="n">
        <v>46260</v>
      </c>
      <c r="G190" s="6" t="inlineStr">
        <is>
          <t>BAST-2026-IN-0071</t>
        </is>
      </c>
      <c r="H190" s="4" t="n">
        <v>95000</v>
      </c>
      <c r="I190" s="4" t="n">
        <v>194750000</v>
      </c>
    </row>
    <row r="191" ht="20" customHeight="1">
      <c r="A191" s="7" t="inlineStr">
        <is>
          <t>APBN</t>
        </is>
      </c>
      <c r="B191" s="8" t="inlineStr">
        <is>
          <t>Pakaian Anak</t>
        </is>
      </c>
      <c r="C191" s="7" t="inlineStr">
        <is>
          <t>Sandang</t>
        </is>
      </c>
      <c r="D191" s="9" t="n">
        <v>1150</v>
      </c>
      <c r="E191" s="7" t="n"/>
      <c r="F191" s="10" t="n">
        <v>46261</v>
      </c>
      <c r="G191" s="11" t="inlineStr">
        <is>
          <t>BAST-2026-IN-0072</t>
        </is>
      </c>
      <c r="H191" s="9" t="n">
        <v>75000</v>
      </c>
      <c r="I191" s="9" t="n">
        <v>86250000</v>
      </c>
    </row>
    <row r="192" ht="20" customHeight="1">
      <c r="A192" s="2" t="inlineStr">
        <is>
          <t>APBD</t>
        </is>
      </c>
      <c r="B192" s="3" t="inlineStr">
        <is>
          <t>Genset</t>
        </is>
      </c>
      <c r="C192" s="2" t="inlineStr">
        <is>
          <t>Logistik Lainnya</t>
        </is>
      </c>
      <c r="D192" s="4" t="n">
        <v>22</v>
      </c>
      <c r="E192" s="2" t="n"/>
      <c r="F192" s="5" t="n">
        <v>46262</v>
      </c>
      <c r="G192" s="6" t="inlineStr">
        <is>
          <t>BAST-2026-IN-0073</t>
        </is>
      </c>
      <c r="H192" s="4" t="n">
        <v>12500000</v>
      </c>
      <c r="I192" s="4" t="n">
        <v>275000000</v>
      </c>
    </row>
    <row r="193" ht="20" customHeight="1">
      <c r="A193" s="7" t="inlineStr">
        <is>
          <t>APBD</t>
        </is>
      </c>
      <c r="B193" s="8" t="inlineStr">
        <is>
          <t>Perahu Karet</t>
        </is>
      </c>
      <c r="C193" s="7" t="inlineStr">
        <is>
          <t>Logistik Lainnya</t>
        </is>
      </c>
      <c r="D193" s="9" t="n">
        <v>17</v>
      </c>
      <c r="E193" s="7" t="n"/>
      <c r="F193" s="10" t="n">
        <v>46268</v>
      </c>
      <c r="G193" s="11" t="inlineStr">
        <is>
          <t>BAST-2026-IN-0074</t>
        </is>
      </c>
      <c r="H193" s="9" t="n">
        <v>35000000</v>
      </c>
      <c r="I193" s="9" t="n">
        <v>595000000</v>
      </c>
    </row>
    <row r="194" ht="20" customHeight="1">
      <c r="A194" s="2" t="inlineStr">
        <is>
          <t>APBN</t>
        </is>
      </c>
      <c r="B194" s="3" t="inlineStr">
        <is>
          <t>Seng</t>
        </is>
      </c>
      <c r="C194" s="2" t="inlineStr">
        <is>
          <t>Papan</t>
        </is>
      </c>
      <c r="D194" s="4" t="n">
        <v>1300</v>
      </c>
      <c r="E194" s="2" t="n"/>
      <c r="F194" s="5" t="n">
        <v>46268</v>
      </c>
      <c r="G194" s="6" t="inlineStr">
        <is>
          <t>BAST-2026-IN-0075</t>
        </is>
      </c>
      <c r="H194" s="4" t="n">
        <v>90000</v>
      </c>
      <c r="I194" s="4" t="n">
        <v>117000000</v>
      </c>
    </row>
    <row r="195" ht="20" customHeight="1">
      <c r="A195" s="7" t="inlineStr">
        <is>
          <t>APBN</t>
        </is>
      </c>
      <c r="B195" s="8" t="inlineStr">
        <is>
          <t>Tenda Keluarga</t>
        </is>
      </c>
      <c r="C195" s="7" t="inlineStr">
        <is>
          <t>Papan</t>
        </is>
      </c>
      <c r="D195" s="9" t="n">
        <v>60</v>
      </c>
      <c r="E195" s="7" t="n"/>
      <c r="F195" s="10" t="n">
        <v>46271</v>
      </c>
      <c r="G195" s="11" t="inlineStr">
        <is>
          <t>BAST-2026-IN-0076</t>
        </is>
      </c>
      <c r="H195" s="9" t="n">
        <v>3200000</v>
      </c>
      <c r="I195" s="9" t="n">
        <v>192000000</v>
      </c>
    </row>
    <row r="196" ht="20" customHeight="1">
      <c r="A196" s="2" t="inlineStr">
        <is>
          <t>CSR</t>
        </is>
      </c>
      <c r="B196" s="3" t="inlineStr">
        <is>
          <t>Genset</t>
        </is>
      </c>
      <c r="C196" s="2" t="inlineStr">
        <is>
          <t>Logistik Lainnya</t>
        </is>
      </c>
      <c r="D196" s="4" t="n">
        <v>13</v>
      </c>
      <c r="E196" s="2" t="n"/>
      <c r="F196" s="5" t="n">
        <v>46274</v>
      </c>
      <c r="G196" s="6" t="inlineStr">
        <is>
          <t>BAST-2026-IN-0077</t>
        </is>
      </c>
      <c r="H196" s="4" t="n">
        <v>12500000</v>
      </c>
      <c r="I196" s="4" t="n">
        <v>162500000</v>
      </c>
    </row>
    <row r="197" ht="20" customHeight="1">
      <c r="A197" s="7" t="inlineStr">
        <is>
          <t>APBN</t>
        </is>
      </c>
      <c r="B197" s="8" t="inlineStr">
        <is>
          <t>Biskuit</t>
        </is>
      </c>
      <c r="C197" s="7" t="inlineStr">
        <is>
          <t>Pangan</t>
        </is>
      </c>
      <c r="D197" s="9" t="n">
        <v>1950</v>
      </c>
      <c r="E197" s="10" t="n">
        <v>46776</v>
      </c>
      <c r="F197" s="10" t="n">
        <v>46276</v>
      </c>
      <c r="G197" s="11" t="inlineStr">
        <is>
          <t>BAST-2026-IN-0078</t>
        </is>
      </c>
      <c r="H197" s="9" t="n">
        <v>25000</v>
      </c>
      <c r="I197" s="9" t="n">
        <v>48750000</v>
      </c>
    </row>
    <row r="198" ht="20" customHeight="1">
      <c r="A198" s="2" t="inlineStr">
        <is>
          <t>APBN</t>
        </is>
      </c>
      <c r="B198" s="3" t="inlineStr">
        <is>
          <t>Lauk Pauk</t>
        </is>
      </c>
      <c r="C198" s="2" t="inlineStr">
        <is>
          <t>Pangan</t>
        </is>
      </c>
      <c r="D198" s="4" t="n">
        <v>2800</v>
      </c>
      <c r="E198" s="2" t="n"/>
      <c r="F198" s="5" t="n">
        <v>46279</v>
      </c>
      <c r="G198" s="6" t="inlineStr">
        <is>
          <t>BAST-2026-IN-0079</t>
        </is>
      </c>
      <c r="H198" s="4" t="n">
        <v>35000</v>
      </c>
      <c r="I198" s="4" t="n">
        <v>98000000</v>
      </c>
    </row>
    <row r="199" ht="20" customHeight="1">
      <c r="A199" s="7" t="inlineStr">
        <is>
          <t>CSR</t>
        </is>
      </c>
      <c r="B199" s="8" t="inlineStr">
        <is>
          <t>Perahu Karet</t>
        </is>
      </c>
      <c r="C199" s="7" t="inlineStr">
        <is>
          <t>Logistik Lainnya</t>
        </is>
      </c>
      <c r="D199" s="9" t="n">
        <v>6</v>
      </c>
      <c r="E199" s="7" t="n"/>
      <c r="F199" s="10" t="n">
        <v>46281</v>
      </c>
      <c r="G199" s="11" t="inlineStr">
        <is>
          <t>BAST-2026-IN-0080</t>
        </is>
      </c>
      <c r="H199" s="9" t="n">
        <v>35000000</v>
      </c>
      <c r="I199" s="9" t="n">
        <v>210000000</v>
      </c>
    </row>
    <row r="200" ht="20" customHeight="1">
      <c r="A200" s="2" t="inlineStr">
        <is>
          <t>APBD</t>
        </is>
      </c>
      <c r="B200" s="3" t="inlineStr">
        <is>
          <t>Chainsaw</t>
        </is>
      </c>
      <c r="C200" s="2" t="inlineStr">
        <is>
          <t>Logistik Lainnya</t>
        </is>
      </c>
      <c r="D200" s="4" t="n">
        <v>35</v>
      </c>
      <c r="E200" s="2" t="n"/>
      <c r="F200" s="5" t="n">
        <v>46281</v>
      </c>
      <c r="G200" s="6" t="inlineStr">
        <is>
          <t>BAST-2026-IN-0081</t>
        </is>
      </c>
      <c r="H200" s="4" t="n">
        <v>4500000</v>
      </c>
      <c r="I200" s="4" t="n">
        <v>157500000</v>
      </c>
    </row>
    <row r="201" ht="20" customHeight="1">
      <c r="A201" s="7" t="inlineStr">
        <is>
          <t>APBD</t>
        </is>
      </c>
      <c r="B201" s="8" t="inlineStr">
        <is>
          <t>Air Mineral</t>
        </is>
      </c>
      <c r="C201" s="7" t="inlineStr">
        <is>
          <t>Pangan</t>
        </is>
      </c>
      <c r="D201" s="9" t="n">
        <v>5000</v>
      </c>
      <c r="E201" s="7" t="n"/>
      <c r="F201" s="10" t="n">
        <v>46291</v>
      </c>
      <c r="G201" s="11" t="inlineStr">
        <is>
          <t>BAST-2026-IN-0082</t>
        </is>
      </c>
      <c r="H201" s="9" t="n">
        <v>30000</v>
      </c>
      <c r="I201" s="9" t="n">
        <v>150000000</v>
      </c>
    </row>
    <row r="202">
      <c r="A202" s="12" t="inlineStr">
        <is>
          <t>TOTAL PENERIMAAN</t>
        </is>
      </c>
      <c r="B202" s="13" t="n"/>
      <c r="C202" s="13" t="n"/>
      <c r="D202" s="14">
        <f>SUM(D2:D201)</f>
        <v/>
      </c>
      <c r="E202" s="13" t="n"/>
      <c r="F202" s="13" t="n"/>
      <c r="G202" s="13" t="n"/>
      <c r="H202" s="13" t="n"/>
      <c r="I202" s="14">
        <f>SUM(I2:I201)</f>
        <v/>
      </c>
    </row>
  </sheetData>
  <dataValidations count="2">
    <dataValidation sqref="A2:A251 B2:B61" showDropDown="0" showInputMessage="0" showErrorMessage="0" allowBlank="1" type="list">
      <formula1>'_RefData'!$A$2:$A$4</formula1>
    </dataValidation>
    <dataValidation sqref="C2:C251 D2:D61 E2:E89" showDropDown="0" showInputMessage="0" showErrorMessage="0" allowBlank="1" type="list">
      <formula1>'_RefData'!$B$2:$B$5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7" customWidth="1" min="4" max="4"/>
    <col width="27" customWidth="1" min="5" max="5"/>
    <col width="30" customWidth="1" min="6" max="6"/>
    <col width="20" customWidth="1" min="7" max="7"/>
    <col width="21" customWidth="1" min="8" max="8"/>
    <col width="20" customWidth="1" min="9" max="9"/>
  </cols>
  <sheetData>
    <row r="1" ht="26" customHeight="1">
      <c r="A1" s="1" t="inlineStr">
        <is>
          <t>Sumber Pendanaan</t>
        </is>
      </c>
      <c r="B1" s="1" t="inlineStr">
        <is>
          <t>Barang</t>
        </is>
      </c>
      <c r="C1" s="1" t="inlineStr">
        <is>
          <t>Kategori Barang</t>
        </is>
      </c>
      <c r="D1" s="1" t="inlineStr">
        <is>
          <t>Jumlah Keluar</t>
        </is>
      </c>
      <c r="E1" s="1" t="inlineStr">
        <is>
          <t>Kab/Kota Tujuan</t>
        </is>
      </c>
      <c r="F1" s="1" t="inlineStr">
        <is>
          <t>Tanggal barang dikeluarkan</t>
        </is>
      </c>
      <c r="G1" s="1" t="inlineStr">
        <is>
          <t>Nomor Dokumen</t>
        </is>
      </c>
      <c r="H1" s="1" t="inlineStr">
        <is>
          <t>Harga Satuan (Rp)</t>
        </is>
      </c>
      <c r="I1" s="1" t="inlineStr">
        <is>
          <t>Nilai Total (Rp)</t>
        </is>
      </c>
    </row>
    <row r="2" ht="20" customHeight="1">
      <c r="A2" s="2" t="inlineStr">
        <is>
          <t>APBN</t>
        </is>
      </c>
      <c r="B2" s="3" t="inlineStr">
        <is>
          <t>Lauk Pauk</t>
        </is>
      </c>
      <c r="C2" s="2" t="inlineStr">
        <is>
          <t>Pangan</t>
        </is>
      </c>
      <c r="D2" s="4" t="n">
        <v>300</v>
      </c>
      <c r="E2" s="2" t="inlineStr">
        <is>
          <t>Kabupaten Bandung Barat</t>
        </is>
      </c>
      <c r="F2" s="5" t="n">
        <v>45733</v>
      </c>
      <c r="G2" s="6" t="inlineStr">
        <is>
          <t>SJ-2025-OUT-0001</t>
        </is>
      </c>
      <c r="H2" s="4" t="n">
        <v>35000</v>
      </c>
      <c r="I2" s="4" t="n">
        <v>10500000</v>
      </c>
    </row>
    <row r="3" ht="20" customHeight="1">
      <c r="A3" s="7" t="inlineStr">
        <is>
          <t>APBD</t>
        </is>
      </c>
      <c r="B3" s="8" t="inlineStr">
        <is>
          <t>Matras</t>
        </is>
      </c>
      <c r="C3" s="7" t="inlineStr">
        <is>
          <t>Sandang</t>
        </is>
      </c>
      <c r="D3" s="9" t="n">
        <v>375</v>
      </c>
      <c r="E3" s="7" t="inlineStr">
        <is>
          <t>Kabupaten Majalengka</t>
        </is>
      </c>
      <c r="F3" s="10" t="n">
        <v>45754</v>
      </c>
      <c r="G3" s="11" t="inlineStr">
        <is>
          <t>SJ-2025-OUT-0002</t>
        </is>
      </c>
      <c r="H3" s="9" t="n">
        <v>120000</v>
      </c>
      <c r="I3" s="9" t="n">
        <v>45000000</v>
      </c>
    </row>
    <row r="4" ht="20" customHeight="1">
      <c r="A4" s="2" t="inlineStr">
        <is>
          <t>APBD</t>
        </is>
      </c>
      <c r="B4" s="3" t="inlineStr">
        <is>
          <t>Terpal</t>
        </is>
      </c>
      <c r="C4" s="2" t="inlineStr">
        <is>
          <t>Papan</t>
        </is>
      </c>
      <c r="D4" s="4" t="n">
        <v>175</v>
      </c>
      <c r="E4" s="2" t="inlineStr">
        <is>
          <t>Kabupaten Garut</t>
        </is>
      </c>
      <c r="F4" s="5" t="n">
        <v>45755</v>
      </c>
      <c r="G4" s="6" t="inlineStr">
        <is>
          <t>SJ-2025-OUT-0003</t>
        </is>
      </c>
      <c r="H4" s="4" t="n">
        <v>150000</v>
      </c>
      <c r="I4" s="4" t="n">
        <v>26250000</v>
      </c>
    </row>
    <row r="5" ht="20" customHeight="1">
      <c r="A5" s="7" t="inlineStr">
        <is>
          <t>CSR</t>
        </is>
      </c>
      <c r="B5" s="8" t="inlineStr">
        <is>
          <t>Terpal</t>
        </is>
      </c>
      <c r="C5" s="7" t="inlineStr">
        <is>
          <t>Papan</t>
        </is>
      </c>
      <c r="D5" s="9" t="n">
        <v>625</v>
      </c>
      <c r="E5" s="7" t="inlineStr">
        <is>
          <t>Kota Bogor</t>
        </is>
      </c>
      <c r="F5" s="10" t="n">
        <v>45762</v>
      </c>
      <c r="G5" s="11" t="inlineStr">
        <is>
          <t>SJ-2025-OUT-0004</t>
        </is>
      </c>
      <c r="H5" s="9" t="n">
        <v>150000</v>
      </c>
      <c r="I5" s="9" t="n">
        <v>93750000</v>
      </c>
    </row>
    <row r="6" ht="20" customHeight="1">
      <c r="A6" s="2" t="inlineStr">
        <is>
          <t>APBN</t>
        </is>
      </c>
      <c r="B6" s="3" t="inlineStr">
        <is>
          <t>Beras</t>
        </is>
      </c>
      <c r="C6" s="2" t="inlineStr">
        <is>
          <t>Pangan</t>
        </is>
      </c>
      <c r="D6" s="4" t="n">
        <v>3350</v>
      </c>
      <c r="E6" s="2" t="inlineStr">
        <is>
          <t>Kabupaten Bekasi</t>
        </is>
      </c>
      <c r="F6" s="5" t="n">
        <v>45788</v>
      </c>
      <c r="G6" s="6" t="inlineStr">
        <is>
          <t>SJ-2025-OUT-0005</t>
        </is>
      </c>
      <c r="H6" s="4" t="n">
        <v>15000</v>
      </c>
      <c r="I6" s="4" t="n">
        <v>50250000</v>
      </c>
    </row>
    <row r="7" ht="20" customHeight="1">
      <c r="A7" s="7" t="inlineStr">
        <is>
          <t>CSR</t>
        </is>
      </c>
      <c r="B7" s="8" t="inlineStr">
        <is>
          <t>Tenda Keluarga</t>
        </is>
      </c>
      <c r="C7" s="7" t="inlineStr">
        <is>
          <t>Papan</t>
        </is>
      </c>
      <c r="D7" s="9" t="n">
        <v>70</v>
      </c>
      <c r="E7" s="7" t="inlineStr">
        <is>
          <t>Kabupaten Sukabumi</t>
        </is>
      </c>
      <c r="F7" s="10" t="n">
        <v>45794</v>
      </c>
      <c r="G7" s="11" t="inlineStr">
        <is>
          <t>SJ-2025-OUT-0006</t>
        </is>
      </c>
      <c r="H7" s="9" t="n">
        <v>3200000</v>
      </c>
      <c r="I7" s="9" t="n">
        <v>224000000</v>
      </c>
    </row>
    <row r="8" ht="20" customHeight="1">
      <c r="A8" s="2" t="inlineStr">
        <is>
          <t>CSR</t>
        </is>
      </c>
      <c r="B8" s="3" t="inlineStr">
        <is>
          <t>Pakaian Anak</t>
        </is>
      </c>
      <c r="C8" s="2" t="inlineStr">
        <is>
          <t>Sandang</t>
        </is>
      </c>
      <c r="D8" s="4" t="n">
        <v>300</v>
      </c>
      <c r="E8" s="2" t="inlineStr">
        <is>
          <t>Kabupaten Subang</t>
        </is>
      </c>
      <c r="F8" s="5" t="n">
        <v>45800</v>
      </c>
      <c r="G8" s="6" t="inlineStr">
        <is>
          <t>SJ-2025-OUT-0007</t>
        </is>
      </c>
      <c r="H8" s="4" t="n">
        <v>75000</v>
      </c>
      <c r="I8" s="4" t="n">
        <v>22500000</v>
      </c>
    </row>
    <row r="9" ht="20" customHeight="1">
      <c r="A9" s="7" t="inlineStr">
        <is>
          <t>CSR</t>
        </is>
      </c>
      <c r="B9" s="8" t="inlineStr">
        <is>
          <t>Biskuit</t>
        </is>
      </c>
      <c r="C9" s="7" t="inlineStr">
        <is>
          <t>Pangan</t>
        </is>
      </c>
      <c r="D9" s="9" t="n">
        <v>1075</v>
      </c>
      <c r="E9" s="7" t="inlineStr">
        <is>
          <t>Kabupaten Indramayu</t>
        </is>
      </c>
      <c r="F9" s="10" t="n">
        <v>45810</v>
      </c>
      <c r="G9" s="11" t="inlineStr">
        <is>
          <t>SJ-2025-OUT-0008</t>
        </is>
      </c>
      <c r="H9" s="9" t="n">
        <v>25000</v>
      </c>
      <c r="I9" s="9" t="n">
        <v>26875000</v>
      </c>
    </row>
    <row r="10" ht="20" customHeight="1">
      <c r="A10" s="2" t="inlineStr">
        <is>
          <t>CSR</t>
        </is>
      </c>
      <c r="B10" s="3" t="inlineStr">
        <is>
          <t>Selimut</t>
        </is>
      </c>
      <c r="C10" s="2" t="inlineStr">
        <is>
          <t>Sandang</t>
        </is>
      </c>
      <c r="D10" s="4" t="n">
        <v>1050</v>
      </c>
      <c r="E10" s="2" t="inlineStr">
        <is>
          <t>Kabupaten Karawang</t>
        </is>
      </c>
      <c r="F10" s="5" t="n">
        <v>45818</v>
      </c>
      <c r="G10" s="6" t="inlineStr">
        <is>
          <t>SJ-2025-OUT-0009</t>
        </is>
      </c>
      <c r="H10" s="4" t="n">
        <v>85000</v>
      </c>
      <c r="I10" s="4" t="n">
        <v>89250000</v>
      </c>
    </row>
    <row r="11" ht="20" customHeight="1">
      <c r="A11" s="7" t="inlineStr">
        <is>
          <t>CSR</t>
        </is>
      </c>
      <c r="B11" s="8" t="inlineStr">
        <is>
          <t>Chainsaw</t>
        </is>
      </c>
      <c r="C11" s="7" t="inlineStr">
        <is>
          <t>Logistik Lainnya</t>
        </is>
      </c>
      <c r="D11" s="9" t="n">
        <v>7</v>
      </c>
      <c r="E11" s="7" t="inlineStr">
        <is>
          <t>Kabupaten Bekasi</t>
        </is>
      </c>
      <c r="F11" s="10" t="n">
        <v>45820</v>
      </c>
      <c r="G11" s="11" t="inlineStr">
        <is>
          <t>SJ-2025-OUT-0010</t>
        </is>
      </c>
      <c r="H11" s="9" t="n">
        <v>4500000</v>
      </c>
      <c r="I11" s="9" t="n">
        <v>31500000</v>
      </c>
    </row>
    <row r="12" ht="20" customHeight="1">
      <c r="A12" s="2" t="inlineStr">
        <is>
          <t>APBD</t>
        </is>
      </c>
      <c r="B12" s="3" t="inlineStr">
        <is>
          <t>Tenda Pengungsi</t>
        </is>
      </c>
      <c r="C12" s="2" t="inlineStr">
        <is>
          <t>Papan</t>
        </is>
      </c>
      <c r="D12" s="4" t="n">
        <v>80</v>
      </c>
      <c r="E12" s="2" t="inlineStr">
        <is>
          <t>Kabupaten Karawang</t>
        </is>
      </c>
      <c r="F12" s="5" t="n">
        <v>45820</v>
      </c>
      <c r="G12" s="6" t="inlineStr">
        <is>
          <t>SJ-2025-OUT-0011</t>
        </is>
      </c>
      <c r="H12" s="4" t="n">
        <v>8500000</v>
      </c>
      <c r="I12" s="4" t="n">
        <v>680000000</v>
      </c>
    </row>
    <row r="13" ht="20" customHeight="1">
      <c r="A13" s="7" t="inlineStr">
        <is>
          <t>CSR</t>
        </is>
      </c>
      <c r="B13" s="8" t="inlineStr">
        <is>
          <t>Terpal</t>
        </is>
      </c>
      <c r="C13" s="7" t="inlineStr">
        <is>
          <t>Papan</t>
        </is>
      </c>
      <c r="D13" s="9" t="n">
        <v>300</v>
      </c>
      <c r="E13" s="7" t="inlineStr">
        <is>
          <t>Kabupaten Subang</t>
        </is>
      </c>
      <c r="F13" s="10" t="n">
        <v>45820</v>
      </c>
      <c r="G13" s="11" t="inlineStr">
        <is>
          <t>SJ-2025-OUT-0012</t>
        </is>
      </c>
      <c r="H13" s="9" t="n">
        <v>150000</v>
      </c>
      <c r="I13" s="9" t="n">
        <v>45000000</v>
      </c>
    </row>
    <row r="14" ht="20" customHeight="1">
      <c r="A14" s="2" t="inlineStr">
        <is>
          <t>APBD</t>
        </is>
      </c>
      <c r="B14" s="3" t="inlineStr">
        <is>
          <t>Makanan Siap Saji</t>
        </is>
      </c>
      <c r="C14" s="2" t="inlineStr">
        <is>
          <t>Pangan</t>
        </is>
      </c>
      <c r="D14" s="4" t="n">
        <v>1825</v>
      </c>
      <c r="E14" s="2" t="inlineStr">
        <is>
          <t>Kabupaten Sukabumi</t>
        </is>
      </c>
      <c r="F14" s="5" t="n">
        <v>45847</v>
      </c>
      <c r="G14" s="6" t="inlineStr">
        <is>
          <t>SJ-2025-OUT-0013</t>
        </is>
      </c>
      <c r="H14" s="4" t="n">
        <v>45000</v>
      </c>
      <c r="I14" s="4" t="n">
        <v>82125000</v>
      </c>
    </row>
    <row r="15" ht="20" customHeight="1">
      <c r="A15" s="7" t="inlineStr">
        <is>
          <t>APBN</t>
        </is>
      </c>
      <c r="B15" s="8" t="inlineStr">
        <is>
          <t>Susu Formula</t>
        </is>
      </c>
      <c r="C15" s="7" t="inlineStr">
        <is>
          <t>Pangan</t>
        </is>
      </c>
      <c r="D15" s="9" t="n">
        <v>425</v>
      </c>
      <c r="E15" s="7" t="inlineStr">
        <is>
          <t>Kota Bandung</t>
        </is>
      </c>
      <c r="F15" s="10" t="n">
        <v>45865</v>
      </c>
      <c r="G15" s="11" t="inlineStr">
        <is>
          <t>SJ-2025-OUT-0014</t>
        </is>
      </c>
      <c r="H15" s="9" t="n">
        <v>65000</v>
      </c>
      <c r="I15" s="9" t="n">
        <v>27625000</v>
      </c>
    </row>
    <row r="16" ht="20" customHeight="1">
      <c r="A16" s="2" t="inlineStr">
        <is>
          <t>APBD</t>
        </is>
      </c>
      <c r="B16" s="3" t="inlineStr">
        <is>
          <t>Family Kit</t>
        </is>
      </c>
      <c r="C16" s="2" t="inlineStr">
        <is>
          <t>Logistik Lainnya</t>
        </is>
      </c>
      <c r="D16" s="4" t="n">
        <v>350</v>
      </c>
      <c r="E16" s="2" t="inlineStr">
        <is>
          <t>Kota Cimahi</t>
        </is>
      </c>
      <c r="F16" s="5" t="n">
        <v>45873</v>
      </c>
      <c r="G16" s="6" t="inlineStr">
        <is>
          <t>SJ-2025-OUT-0015</t>
        </is>
      </c>
      <c r="H16" s="4" t="n">
        <v>350000</v>
      </c>
      <c r="I16" s="4" t="n">
        <v>122500000</v>
      </c>
    </row>
    <row r="17" ht="20" customHeight="1">
      <c r="A17" s="7" t="inlineStr">
        <is>
          <t>APBD</t>
        </is>
      </c>
      <c r="B17" s="8" t="inlineStr">
        <is>
          <t>Selimut</t>
        </is>
      </c>
      <c r="C17" s="7" t="inlineStr">
        <is>
          <t>Sandang</t>
        </is>
      </c>
      <c r="D17" s="9" t="n">
        <v>900</v>
      </c>
      <c r="E17" s="7" t="inlineStr">
        <is>
          <t>Kabupaten Indramayu</t>
        </is>
      </c>
      <c r="F17" s="10" t="n">
        <v>45876</v>
      </c>
      <c r="G17" s="11" t="inlineStr">
        <is>
          <t>SJ-2025-OUT-0016</t>
        </is>
      </c>
      <c r="H17" s="9" t="n">
        <v>85000</v>
      </c>
      <c r="I17" s="9" t="n">
        <v>76500000</v>
      </c>
    </row>
    <row r="18" ht="20" customHeight="1">
      <c r="A18" s="2" t="inlineStr">
        <is>
          <t>APBN</t>
        </is>
      </c>
      <c r="B18" s="3" t="inlineStr">
        <is>
          <t>Family Kit</t>
        </is>
      </c>
      <c r="C18" s="2" t="inlineStr">
        <is>
          <t>Logistik Lainnya</t>
        </is>
      </c>
      <c r="D18" s="4" t="n">
        <v>750</v>
      </c>
      <c r="E18" s="2" t="inlineStr">
        <is>
          <t>Kota Depok</t>
        </is>
      </c>
      <c r="F18" s="5" t="n">
        <v>45911</v>
      </c>
      <c r="G18" s="6" t="inlineStr">
        <is>
          <t>SJ-2025-OUT-0017</t>
        </is>
      </c>
      <c r="H18" s="4" t="n">
        <v>350000</v>
      </c>
      <c r="I18" s="4" t="n">
        <v>262500000</v>
      </c>
    </row>
    <row r="19" ht="20" customHeight="1">
      <c r="A19" s="7" t="inlineStr">
        <is>
          <t>CSR</t>
        </is>
      </c>
      <c r="B19" s="8" t="inlineStr">
        <is>
          <t>Matras</t>
        </is>
      </c>
      <c r="C19" s="7" t="inlineStr">
        <is>
          <t>Sandang</t>
        </is>
      </c>
      <c r="D19" s="9" t="n">
        <v>675</v>
      </c>
      <c r="E19" s="7" t="inlineStr">
        <is>
          <t>Kota Cirebon</t>
        </is>
      </c>
      <c r="F19" s="10" t="n">
        <v>45950</v>
      </c>
      <c r="G19" s="11" t="inlineStr">
        <is>
          <t>SJ-2025-OUT-0018</t>
        </is>
      </c>
      <c r="H19" s="9" t="n">
        <v>120000</v>
      </c>
      <c r="I19" s="9" t="n">
        <v>81000000</v>
      </c>
    </row>
    <row r="20" ht="20" customHeight="1">
      <c r="A20" s="2" t="inlineStr">
        <is>
          <t>APBD</t>
        </is>
      </c>
      <c r="B20" s="3" t="inlineStr">
        <is>
          <t>Lauk Pauk</t>
        </is>
      </c>
      <c r="C20" s="2" t="inlineStr">
        <is>
          <t>Pangan</t>
        </is>
      </c>
      <c r="D20" s="4" t="n">
        <v>1125</v>
      </c>
      <c r="E20" s="2" t="inlineStr">
        <is>
          <t>Kota Banjar</t>
        </is>
      </c>
      <c r="F20" s="5" t="n">
        <v>45957</v>
      </c>
      <c r="G20" s="6" t="inlineStr">
        <is>
          <t>SJ-2025-OUT-0019</t>
        </is>
      </c>
      <c r="H20" s="4" t="n">
        <v>35000</v>
      </c>
      <c r="I20" s="4" t="n">
        <v>39375000</v>
      </c>
    </row>
    <row r="21" ht="20" customHeight="1">
      <c r="A21" s="7" t="inlineStr">
        <is>
          <t>APBD</t>
        </is>
      </c>
      <c r="B21" s="8" t="inlineStr">
        <is>
          <t>Susu Formula</t>
        </is>
      </c>
      <c r="C21" s="7" t="inlineStr">
        <is>
          <t>Pangan</t>
        </is>
      </c>
      <c r="D21" s="9" t="n">
        <v>700</v>
      </c>
      <c r="E21" s="7" t="inlineStr">
        <is>
          <t>Kabupaten Cirebon</t>
        </is>
      </c>
      <c r="F21" s="10" t="n">
        <v>45958</v>
      </c>
      <c r="G21" s="11" t="inlineStr">
        <is>
          <t>SJ-2025-OUT-0020</t>
        </is>
      </c>
      <c r="H21" s="9" t="n">
        <v>65000</v>
      </c>
      <c r="I21" s="9" t="n">
        <v>45500000</v>
      </c>
    </row>
    <row r="22" ht="20" customHeight="1">
      <c r="A22" s="2" t="inlineStr">
        <is>
          <t>CSR</t>
        </is>
      </c>
      <c r="B22" s="3" t="inlineStr">
        <is>
          <t>Biskuit</t>
        </is>
      </c>
      <c r="C22" s="2" t="inlineStr">
        <is>
          <t>Pangan</t>
        </is>
      </c>
      <c r="D22" s="4" t="n">
        <v>1525</v>
      </c>
      <c r="E22" s="2" t="inlineStr">
        <is>
          <t>Kota Depok</t>
        </is>
      </c>
      <c r="F22" s="5" t="n">
        <v>45962</v>
      </c>
      <c r="G22" s="6" t="inlineStr">
        <is>
          <t>SJ-2025-OUT-0021</t>
        </is>
      </c>
      <c r="H22" s="4" t="n">
        <v>25000</v>
      </c>
      <c r="I22" s="4" t="n">
        <v>38125000</v>
      </c>
    </row>
    <row r="23" ht="20" customHeight="1">
      <c r="A23" s="7" t="inlineStr">
        <is>
          <t>CSR</t>
        </is>
      </c>
      <c r="B23" s="8" t="inlineStr">
        <is>
          <t>Pakaian Anak</t>
        </is>
      </c>
      <c r="C23" s="7" t="inlineStr">
        <is>
          <t>Sandang</t>
        </is>
      </c>
      <c r="D23" s="9" t="n">
        <v>700</v>
      </c>
      <c r="E23" s="7" t="inlineStr">
        <is>
          <t>Kabupaten Bogor</t>
        </is>
      </c>
      <c r="F23" s="10" t="n">
        <v>45989</v>
      </c>
      <c r="G23" s="11" t="inlineStr">
        <is>
          <t>SJ-2025-OUT-0022</t>
        </is>
      </c>
      <c r="H23" s="9" t="n">
        <v>75000</v>
      </c>
      <c r="I23" s="9" t="n">
        <v>52500000</v>
      </c>
    </row>
    <row r="24" ht="20" customHeight="1">
      <c r="A24" s="2" t="inlineStr">
        <is>
          <t>CSR</t>
        </is>
      </c>
      <c r="B24" s="3" t="inlineStr">
        <is>
          <t>Matras</t>
        </is>
      </c>
      <c r="C24" s="2" t="inlineStr">
        <is>
          <t>Sandang</t>
        </is>
      </c>
      <c r="D24" s="4" t="n">
        <v>375</v>
      </c>
      <c r="E24" s="2" t="inlineStr">
        <is>
          <t>Kota Sukabumi</t>
        </is>
      </c>
      <c r="F24" s="5" t="n">
        <v>46012</v>
      </c>
      <c r="G24" s="6" t="inlineStr">
        <is>
          <t>SJ-2025-OUT-0023</t>
        </is>
      </c>
      <c r="H24" s="4" t="n">
        <v>120000</v>
      </c>
      <c r="I24" s="4" t="n">
        <v>45000000</v>
      </c>
    </row>
    <row r="25" ht="20" customHeight="1">
      <c r="A25" s="7" t="inlineStr">
        <is>
          <t>APBD</t>
        </is>
      </c>
      <c r="B25" s="8" t="inlineStr">
        <is>
          <t>Matras</t>
        </is>
      </c>
      <c r="C25" s="7" t="inlineStr">
        <is>
          <t>Sandang</t>
        </is>
      </c>
      <c r="D25" s="9" t="n">
        <v>650</v>
      </c>
      <c r="E25" s="7" t="inlineStr">
        <is>
          <t>Kabupaten Majalengka</t>
        </is>
      </c>
      <c r="F25" s="10" t="n">
        <v>46042</v>
      </c>
      <c r="G25" s="11" t="inlineStr">
        <is>
          <t>SJ-2026-OUT-0001</t>
        </is>
      </c>
      <c r="H25" s="9" t="n">
        <v>120000</v>
      </c>
      <c r="I25" s="9" t="n">
        <v>78000000</v>
      </c>
    </row>
    <row r="26" ht="20" customHeight="1">
      <c r="A26" s="2" t="inlineStr">
        <is>
          <t>CSR</t>
        </is>
      </c>
      <c r="B26" s="3" t="inlineStr">
        <is>
          <t>Pakaian Anak</t>
        </is>
      </c>
      <c r="C26" s="2" t="inlineStr">
        <is>
          <t>Sandang</t>
        </is>
      </c>
      <c r="D26" s="4" t="n">
        <v>150</v>
      </c>
      <c r="E26" s="2" t="inlineStr">
        <is>
          <t>Kabupaten Karawang</t>
        </is>
      </c>
      <c r="F26" s="5" t="n">
        <v>46043</v>
      </c>
      <c r="G26" s="6" t="inlineStr">
        <is>
          <t>SJ-2026-OUT-0002</t>
        </is>
      </c>
      <c r="H26" s="4" t="n">
        <v>75000</v>
      </c>
      <c r="I26" s="4" t="n">
        <v>11250000</v>
      </c>
    </row>
    <row r="27" ht="20" customHeight="1">
      <c r="A27" s="7" t="inlineStr">
        <is>
          <t>APBD</t>
        </is>
      </c>
      <c r="B27" s="8" t="inlineStr">
        <is>
          <t>Terpal</t>
        </is>
      </c>
      <c r="C27" s="7" t="inlineStr">
        <is>
          <t>Papan</t>
        </is>
      </c>
      <c r="D27" s="9" t="n">
        <v>225</v>
      </c>
      <c r="E27" s="7" t="inlineStr">
        <is>
          <t>Kabupaten Cirebon</t>
        </is>
      </c>
      <c r="F27" s="10" t="n">
        <v>46047</v>
      </c>
      <c r="G27" s="11" t="inlineStr">
        <is>
          <t>SJ-2026-OUT-0003</t>
        </is>
      </c>
      <c r="H27" s="9" t="n">
        <v>150000</v>
      </c>
      <c r="I27" s="9" t="n">
        <v>33750000</v>
      </c>
    </row>
    <row r="28" ht="20" customHeight="1">
      <c r="A28" s="2" t="inlineStr">
        <is>
          <t>APBN</t>
        </is>
      </c>
      <c r="B28" s="3" t="inlineStr">
        <is>
          <t>Chainsaw</t>
        </is>
      </c>
      <c r="C28" s="2" t="inlineStr">
        <is>
          <t>Logistik Lainnya</t>
        </is>
      </c>
      <c r="D28" s="4" t="n">
        <v>30</v>
      </c>
      <c r="E28" s="2" t="inlineStr">
        <is>
          <t>Kabupaten Majalengka</t>
        </is>
      </c>
      <c r="F28" s="5" t="n">
        <v>46054</v>
      </c>
      <c r="G28" s="6" t="inlineStr">
        <is>
          <t>SJ-2026-OUT-0004</t>
        </is>
      </c>
      <c r="H28" s="4" t="n">
        <v>4500000</v>
      </c>
      <c r="I28" s="4" t="n">
        <v>135000000</v>
      </c>
    </row>
    <row r="29" ht="20" customHeight="1">
      <c r="A29" s="7" t="inlineStr">
        <is>
          <t>CSR</t>
        </is>
      </c>
      <c r="B29" s="8" t="inlineStr">
        <is>
          <t>Genset</t>
        </is>
      </c>
      <c r="C29" s="7" t="inlineStr">
        <is>
          <t>Logistik Lainnya</t>
        </is>
      </c>
      <c r="D29" s="9" t="n">
        <v>10</v>
      </c>
      <c r="E29" s="7" t="inlineStr">
        <is>
          <t>Kota Tasikmalaya</t>
        </is>
      </c>
      <c r="F29" s="10" t="n">
        <v>46057</v>
      </c>
      <c r="G29" s="11" t="inlineStr">
        <is>
          <t>SJ-2026-OUT-0005</t>
        </is>
      </c>
      <c r="H29" s="9" t="n">
        <v>12500000</v>
      </c>
      <c r="I29" s="9" t="n">
        <v>125000000</v>
      </c>
    </row>
    <row r="30" ht="20" customHeight="1">
      <c r="A30" s="2" t="inlineStr">
        <is>
          <t>APBN</t>
        </is>
      </c>
      <c r="B30" s="3" t="inlineStr">
        <is>
          <t>Biskuit</t>
        </is>
      </c>
      <c r="C30" s="2" t="inlineStr">
        <is>
          <t>Pangan</t>
        </is>
      </c>
      <c r="D30" s="4" t="n">
        <v>1125</v>
      </c>
      <c r="E30" s="2" t="inlineStr">
        <is>
          <t>Kota Sukabumi</t>
        </is>
      </c>
      <c r="F30" s="5" t="n">
        <v>46064</v>
      </c>
      <c r="G30" s="6" t="inlineStr">
        <is>
          <t>SJ-2026-OUT-0006</t>
        </is>
      </c>
      <c r="H30" s="4" t="n">
        <v>25000</v>
      </c>
      <c r="I30" s="4" t="n">
        <v>28125000</v>
      </c>
    </row>
    <row r="31" ht="20" customHeight="1">
      <c r="A31" s="7" t="inlineStr">
        <is>
          <t>APBD</t>
        </is>
      </c>
      <c r="B31" s="8" t="inlineStr">
        <is>
          <t>Air Mineral</t>
        </is>
      </c>
      <c r="C31" s="7" t="inlineStr">
        <is>
          <t>Pangan</t>
        </is>
      </c>
      <c r="D31" s="9" t="n">
        <v>3525</v>
      </c>
      <c r="E31" s="7" t="inlineStr">
        <is>
          <t>Kabupaten Bogor</t>
        </is>
      </c>
      <c r="F31" s="10" t="n">
        <v>46104</v>
      </c>
      <c r="G31" s="11" t="inlineStr">
        <is>
          <t>SJ-2026-OUT-0007</t>
        </is>
      </c>
      <c r="H31" s="9" t="n">
        <v>30000</v>
      </c>
      <c r="I31" s="9" t="n">
        <v>105750000</v>
      </c>
    </row>
    <row r="32" ht="20" customHeight="1">
      <c r="A32" s="2" t="inlineStr">
        <is>
          <t>APBD</t>
        </is>
      </c>
      <c r="B32" s="3" t="inlineStr">
        <is>
          <t>Sarung</t>
        </is>
      </c>
      <c r="C32" s="2" t="inlineStr">
        <is>
          <t>Sandang</t>
        </is>
      </c>
      <c r="D32" s="4" t="n">
        <v>175</v>
      </c>
      <c r="E32" s="2" t="inlineStr">
        <is>
          <t>Kota Depok</t>
        </is>
      </c>
      <c r="F32" s="5" t="n">
        <v>46107</v>
      </c>
      <c r="G32" s="6" t="inlineStr">
        <is>
          <t>SJ-2026-OUT-0008</t>
        </is>
      </c>
      <c r="H32" s="4" t="n">
        <v>60000</v>
      </c>
      <c r="I32" s="4" t="n">
        <v>10500000</v>
      </c>
    </row>
    <row r="33" ht="20" customHeight="1">
      <c r="A33" s="7" t="inlineStr">
        <is>
          <t>APBN</t>
        </is>
      </c>
      <c r="B33" s="8" t="inlineStr">
        <is>
          <t>Tenda Keluarga</t>
        </is>
      </c>
      <c r="C33" s="7" t="inlineStr">
        <is>
          <t>Papan</t>
        </is>
      </c>
      <c r="D33" s="9" t="n">
        <v>100</v>
      </c>
      <c r="E33" s="7" t="inlineStr">
        <is>
          <t>Kabupaten Bekasi</t>
        </is>
      </c>
      <c r="F33" s="10" t="n">
        <v>46108</v>
      </c>
      <c r="G33" s="11" t="inlineStr">
        <is>
          <t>SJ-2026-OUT-0009</t>
        </is>
      </c>
      <c r="H33" s="9" t="n">
        <v>3200000</v>
      </c>
      <c r="I33" s="9" t="n">
        <v>320000000</v>
      </c>
    </row>
    <row r="34" ht="20" customHeight="1">
      <c r="A34" s="2" t="inlineStr">
        <is>
          <t>APBD</t>
        </is>
      </c>
      <c r="B34" s="3" t="inlineStr">
        <is>
          <t>Selimut</t>
        </is>
      </c>
      <c r="C34" s="2" t="inlineStr">
        <is>
          <t>Sandang</t>
        </is>
      </c>
      <c r="D34" s="4" t="n">
        <v>625</v>
      </c>
      <c r="E34" s="2" t="inlineStr">
        <is>
          <t>Kabupaten Tasikmalaya</t>
        </is>
      </c>
      <c r="F34" s="5" t="n">
        <v>46110</v>
      </c>
      <c r="G34" s="6" t="inlineStr">
        <is>
          <t>SJ-2026-OUT-0010</t>
        </is>
      </c>
      <c r="H34" s="4" t="n">
        <v>85000</v>
      </c>
      <c r="I34" s="4" t="n">
        <v>53125000</v>
      </c>
    </row>
    <row r="35" ht="20" customHeight="1">
      <c r="A35" s="7" t="inlineStr">
        <is>
          <t>APBN</t>
        </is>
      </c>
      <c r="B35" s="8" t="inlineStr">
        <is>
          <t>Seng</t>
        </is>
      </c>
      <c r="C35" s="7" t="inlineStr">
        <is>
          <t>Papan</t>
        </is>
      </c>
      <c r="D35" s="9" t="n">
        <v>850</v>
      </c>
      <c r="E35" s="7" t="inlineStr">
        <is>
          <t>Kota Bogor</t>
        </is>
      </c>
      <c r="F35" s="10" t="n">
        <v>46113</v>
      </c>
      <c r="G35" s="11" t="inlineStr">
        <is>
          <t>SJ-2026-OUT-0011</t>
        </is>
      </c>
      <c r="H35" s="9" t="n">
        <v>90000</v>
      </c>
      <c r="I35" s="9" t="n">
        <v>76500000</v>
      </c>
    </row>
    <row r="36" ht="20" customHeight="1">
      <c r="A36" s="2" t="inlineStr">
        <is>
          <t>CSR</t>
        </is>
      </c>
      <c r="B36" s="3" t="inlineStr">
        <is>
          <t>Biskuit</t>
        </is>
      </c>
      <c r="C36" s="2" t="inlineStr">
        <is>
          <t>Pangan</t>
        </is>
      </c>
      <c r="D36" s="4" t="n">
        <v>1325</v>
      </c>
      <c r="E36" s="2" t="inlineStr">
        <is>
          <t>Kabupaten Pangandaran</t>
        </is>
      </c>
      <c r="F36" s="5" t="n">
        <v>46125</v>
      </c>
      <c r="G36" s="6" t="inlineStr">
        <is>
          <t>SJ-2026-OUT-0012</t>
        </is>
      </c>
      <c r="H36" s="4" t="n">
        <v>25000</v>
      </c>
      <c r="I36" s="4" t="n">
        <v>33125000</v>
      </c>
    </row>
    <row r="37" ht="20" customHeight="1">
      <c r="A37" s="7" t="inlineStr">
        <is>
          <t>CSR</t>
        </is>
      </c>
      <c r="B37" s="8" t="inlineStr">
        <is>
          <t>Tenda Pengungsi</t>
        </is>
      </c>
      <c r="C37" s="7" t="inlineStr">
        <is>
          <t>Papan</t>
        </is>
      </c>
      <c r="D37" s="9" t="n">
        <v>15</v>
      </c>
      <c r="E37" s="7" t="inlineStr">
        <is>
          <t>Kota Bogor</t>
        </is>
      </c>
      <c r="F37" s="10" t="n">
        <v>46137</v>
      </c>
      <c r="G37" s="11" t="inlineStr">
        <is>
          <t>SJ-2026-OUT-0013</t>
        </is>
      </c>
      <c r="H37" s="9" t="n">
        <v>8500000</v>
      </c>
      <c r="I37" s="9" t="n">
        <v>127500000</v>
      </c>
    </row>
    <row r="38" ht="20" customHeight="1">
      <c r="A38" s="2" t="inlineStr">
        <is>
          <t>APBN</t>
        </is>
      </c>
      <c r="B38" s="3" t="inlineStr">
        <is>
          <t>Perahu Karet</t>
        </is>
      </c>
      <c r="C38" s="2" t="inlineStr">
        <is>
          <t>Logistik Lainnya</t>
        </is>
      </c>
      <c r="D38" s="4" t="n">
        <v>1</v>
      </c>
      <c r="E38" s="2" t="inlineStr">
        <is>
          <t>Kota Banjar</t>
        </is>
      </c>
      <c r="F38" s="5" t="n">
        <v>46138</v>
      </c>
      <c r="G38" s="6" t="inlineStr">
        <is>
          <t>SJ-2026-OUT-0014</t>
        </is>
      </c>
      <c r="H38" s="4" t="n">
        <v>35000000</v>
      </c>
      <c r="I38" s="4" t="n">
        <v>35000000</v>
      </c>
    </row>
    <row r="39" ht="20" customHeight="1">
      <c r="A39" s="7" t="inlineStr">
        <is>
          <t>CSR</t>
        </is>
      </c>
      <c r="B39" s="8" t="inlineStr">
        <is>
          <t>Air Mineral</t>
        </is>
      </c>
      <c r="C39" s="7" t="inlineStr">
        <is>
          <t>Pangan</t>
        </is>
      </c>
      <c r="D39" s="9" t="n">
        <v>2725</v>
      </c>
      <c r="E39" s="7" t="inlineStr">
        <is>
          <t>Kabupaten Garut</t>
        </is>
      </c>
      <c r="F39" s="10" t="n">
        <v>46162</v>
      </c>
      <c r="G39" s="11" t="inlineStr">
        <is>
          <t>SJ-2026-OUT-0015</t>
        </is>
      </c>
      <c r="H39" s="9" t="n">
        <v>30000</v>
      </c>
      <c r="I39" s="9" t="n">
        <v>81750000</v>
      </c>
    </row>
    <row r="40" ht="20" customHeight="1">
      <c r="A40" s="2" t="inlineStr">
        <is>
          <t>CSR</t>
        </is>
      </c>
      <c r="B40" s="3" t="inlineStr">
        <is>
          <t>Sarung</t>
        </is>
      </c>
      <c r="C40" s="2" t="inlineStr">
        <is>
          <t>Sandang</t>
        </is>
      </c>
      <c r="D40" s="4" t="n">
        <v>525</v>
      </c>
      <c r="E40" s="2" t="inlineStr">
        <is>
          <t>Kota Cimahi</t>
        </is>
      </c>
      <c r="F40" s="5" t="n">
        <v>46168</v>
      </c>
      <c r="G40" s="6" t="inlineStr">
        <is>
          <t>SJ-2026-OUT-0016</t>
        </is>
      </c>
      <c r="H40" s="4" t="n">
        <v>60000</v>
      </c>
      <c r="I40" s="4" t="n">
        <v>31500000</v>
      </c>
    </row>
    <row r="41" ht="20" customHeight="1">
      <c r="A41" s="7" t="inlineStr">
        <is>
          <t>APBD</t>
        </is>
      </c>
      <c r="B41" s="8" t="inlineStr">
        <is>
          <t>Terpal</t>
        </is>
      </c>
      <c r="C41" s="7" t="inlineStr">
        <is>
          <t>Papan</t>
        </is>
      </c>
      <c r="D41" s="9" t="n">
        <v>150</v>
      </c>
      <c r="E41" s="7" t="inlineStr">
        <is>
          <t>Kabupaten Ciamis</t>
        </is>
      </c>
      <c r="F41" s="10" t="n">
        <v>46172</v>
      </c>
      <c r="G41" s="11" t="inlineStr">
        <is>
          <t>SJ-2026-OUT-0017</t>
        </is>
      </c>
      <c r="H41" s="9" t="n">
        <v>150000</v>
      </c>
      <c r="I41" s="9" t="n">
        <v>22500000</v>
      </c>
    </row>
    <row r="42" ht="20" customHeight="1">
      <c r="A42" s="2" t="inlineStr">
        <is>
          <t>APBN</t>
        </is>
      </c>
      <c r="B42" s="3" t="inlineStr">
        <is>
          <t>Matras</t>
        </is>
      </c>
      <c r="C42" s="2" t="inlineStr">
        <is>
          <t>Sandang</t>
        </is>
      </c>
      <c r="D42" s="4" t="n">
        <v>375</v>
      </c>
      <c r="E42" s="2" t="inlineStr">
        <is>
          <t>Kabupaten Sukabumi</t>
        </is>
      </c>
      <c r="F42" s="5" t="n">
        <v>46184</v>
      </c>
      <c r="G42" s="6" t="inlineStr">
        <is>
          <t>SJ-2026-OUT-0018</t>
        </is>
      </c>
      <c r="H42" s="4" t="n">
        <v>120000</v>
      </c>
      <c r="I42" s="4" t="n">
        <v>45000000</v>
      </c>
    </row>
    <row r="43" ht="20" customHeight="1">
      <c r="A43" s="7" t="inlineStr">
        <is>
          <t>APBN</t>
        </is>
      </c>
      <c r="B43" s="8" t="inlineStr">
        <is>
          <t>Pakaian Dewasa</t>
        </is>
      </c>
      <c r="C43" s="7" t="inlineStr">
        <is>
          <t>Sandang</t>
        </is>
      </c>
      <c r="D43" s="9" t="n">
        <v>575</v>
      </c>
      <c r="E43" s="7" t="inlineStr">
        <is>
          <t>Kabupaten Tasikmalaya</t>
        </is>
      </c>
      <c r="F43" s="10" t="n">
        <v>46185</v>
      </c>
      <c r="G43" s="11" t="inlineStr">
        <is>
          <t>SJ-2026-OUT-0019</t>
        </is>
      </c>
      <c r="H43" s="9" t="n">
        <v>95000</v>
      </c>
      <c r="I43" s="9" t="n">
        <v>54625000</v>
      </c>
    </row>
    <row r="44" ht="20" customHeight="1">
      <c r="A44" s="2" t="inlineStr">
        <is>
          <t>APBN</t>
        </is>
      </c>
      <c r="B44" s="3" t="inlineStr">
        <is>
          <t>Tenda Keluarga</t>
        </is>
      </c>
      <c r="C44" s="2" t="inlineStr">
        <is>
          <t>Papan</t>
        </is>
      </c>
      <c r="D44" s="4" t="n">
        <v>125</v>
      </c>
      <c r="E44" s="2" t="inlineStr">
        <is>
          <t>Kabupaten Majalengka</t>
        </is>
      </c>
      <c r="F44" s="5" t="n">
        <v>46198</v>
      </c>
      <c r="G44" s="6" t="inlineStr">
        <is>
          <t>SJ-2026-OUT-0020</t>
        </is>
      </c>
      <c r="H44" s="4" t="n">
        <v>3200000</v>
      </c>
      <c r="I44" s="4" t="n">
        <v>400000000</v>
      </c>
    </row>
    <row r="45" ht="20" customHeight="1">
      <c r="A45" s="7" t="inlineStr">
        <is>
          <t>CSR</t>
        </is>
      </c>
      <c r="B45" s="8" t="inlineStr">
        <is>
          <t>Chainsaw</t>
        </is>
      </c>
      <c r="C45" s="7" t="inlineStr">
        <is>
          <t>Logistik Lainnya</t>
        </is>
      </c>
      <c r="D45" s="9" t="n">
        <v>15</v>
      </c>
      <c r="E45" s="7" t="inlineStr">
        <is>
          <t>Kota Bandung</t>
        </is>
      </c>
      <c r="F45" s="10" t="n">
        <v>46202</v>
      </c>
      <c r="G45" s="11" t="inlineStr">
        <is>
          <t>SJ-2026-OUT-0021</t>
        </is>
      </c>
      <c r="H45" s="9" t="n">
        <v>4500000</v>
      </c>
      <c r="I45" s="9" t="n">
        <v>67500000</v>
      </c>
    </row>
    <row r="46" ht="20" customHeight="1">
      <c r="A46" s="2" t="inlineStr">
        <is>
          <t>CSR</t>
        </is>
      </c>
      <c r="B46" s="3" t="inlineStr">
        <is>
          <t>Pakaian Anak</t>
        </is>
      </c>
      <c r="C46" s="2" t="inlineStr">
        <is>
          <t>Sandang</t>
        </is>
      </c>
      <c r="D46" s="4" t="n">
        <v>975</v>
      </c>
      <c r="E46" s="2" t="inlineStr">
        <is>
          <t>Kabupaten Purwakarta</t>
        </is>
      </c>
      <c r="F46" s="5" t="n">
        <v>46217</v>
      </c>
      <c r="G46" s="6" t="inlineStr">
        <is>
          <t>SJ-2026-OUT-0022</t>
        </is>
      </c>
      <c r="H46" s="4" t="n">
        <v>75000</v>
      </c>
      <c r="I46" s="4" t="n">
        <v>73125000</v>
      </c>
    </row>
    <row r="47" ht="20" customHeight="1">
      <c r="A47" s="7" t="inlineStr">
        <is>
          <t>CSR</t>
        </is>
      </c>
      <c r="B47" s="8" t="inlineStr">
        <is>
          <t>Pakaian Dewasa</t>
        </is>
      </c>
      <c r="C47" s="7" t="inlineStr">
        <is>
          <t>Sandang</t>
        </is>
      </c>
      <c r="D47" s="9" t="n">
        <v>1100</v>
      </c>
      <c r="E47" s="7" t="inlineStr">
        <is>
          <t>Kota Banjar</t>
        </is>
      </c>
      <c r="F47" s="10" t="n">
        <v>46225</v>
      </c>
      <c r="G47" s="11" t="inlineStr">
        <is>
          <t>SJ-2026-OUT-0023</t>
        </is>
      </c>
      <c r="H47" s="9" t="n">
        <v>95000</v>
      </c>
      <c r="I47" s="9" t="n">
        <v>104500000</v>
      </c>
    </row>
    <row r="48" ht="20" customHeight="1">
      <c r="A48" s="2" t="inlineStr">
        <is>
          <t>APBD</t>
        </is>
      </c>
      <c r="B48" s="3" t="inlineStr">
        <is>
          <t>Biskuit</t>
        </is>
      </c>
      <c r="C48" s="2" t="inlineStr">
        <is>
          <t>Pangan</t>
        </is>
      </c>
      <c r="D48" s="4" t="n">
        <v>200</v>
      </c>
      <c r="E48" s="2" t="inlineStr">
        <is>
          <t>Kota Cimahi</t>
        </is>
      </c>
      <c r="F48" s="5" t="n">
        <v>46232</v>
      </c>
      <c r="G48" s="6" t="inlineStr">
        <is>
          <t>SJ-2026-OUT-0024</t>
        </is>
      </c>
      <c r="H48" s="4" t="n">
        <v>25000</v>
      </c>
      <c r="I48" s="4" t="n">
        <v>5000000</v>
      </c>
    </row>
    <row r="49" ht="20" customHeight="1">
      <c r="A49" s="7" t="inlineStr">
        <is>
          <t>APBD</t>
        </is>
      </c>
      <c r="B49" s="8" t="inlineStr">
        <is>
          <t>Makanan Siap Saji</t>
        </is>
      </c>
      <c r="C49" s="7" t="inlineStr">
        <is>
          <t>Pangan</t>
        </is>
      </c>
      <c r="D49" s="9" t="n">
        <v>2050</v>
      </c>
      <c r="E49" s="7" t="inlineStr">
        <is>
          <t>Kabupaten Subang</t>
        </is>
      </c>
      <c r="F49" s="10" t="n">
        <v>46256</v>
      </c>
      <c r="G49" s="11" t="inlineStr">
        <is>
          <t>SJ-2026-OUT-0025</t>
        </is>
      </c>
      <c r="H49" s="9" t="n">
        <v>45000</v>
      </c>
      <c r="I49" s="9" t="n">
        <v>92250000</v>
      </c>
    </row>
    <row r="50" ht="20" customHeight="1">
      <c r="A50" s="2" t="inlineStr">
        <is>
          <t>APBN</t>
        </is>
      </c>
      <c r="B50" s="3" t="inlineStr">
        <is>
          <t>Tenda Pengungsi</t>
        </is>
      </c>
      <c r="C50" s="2" t="inlineStr">
        <is>
          <t>Papan</t>
        </is>
      </c>
      <c r="D50" s="4" t="n">
        <v>15</v>
      </c>
      <c r="E50" s="2" t="inlineStr">
        <is>
          <t>Kota Bogor</t>
        </is>
      </c>
      <c r="F50" s="5" t="n">
        <v>46264</v>
      </c>
      <c r="G50" s="6" t="inlineStr">
        <is>
          <t>SJ-2026-OUT-0026</t>
        </is>
      </c>
      <c r="H50" s="4" t="n">
        <v>8500000</v>
      </c>
      <c r="I50" s="4" t="n">
        <v>127500000</v>
      </c>
    </row>
    <row r="51" ht="20" customHeight="1">
      <c r="A51" s="7" t="inlineStr">
        <is>
          <t>APBD</t>
        </is>
      </c>
      <c r="B51" s="8" t="inlineStr">
        <is>
          <t>Chainsaw</t>
        </is>
      </c>
      <c r="C51" s="7" t="inlineStr">
        <is>
          <t>Logistik Lainnya</t>
        </is>
      </c>
      <c r="D51" s="9" t="n">
        <v>30</v>
      </c>
      <c r="E51" s="7" t="inlineStr">
        <is>
          <t>Kota Bekasi</t>
        </is>
      </c>
      <c r="F51" s="10" t="n">
        <v>46272</v>
      </c>
      <c r="G51" s="11" t="inlineStr">
        <is>
          <t>SJ-2026-OUT-0027</t>
        </is>
      </c>
      <c r="H51" s="9" t="n">
        <v>4500000</v>
      </c>
      <c r="I51" s="9" t="n">
        <v>135000000</v>
      </c>
    </row>
    <row r="52">
      <c r="A52" s="12" t="inlineStr">
        <is>
          <t>TOTAL DISTRIBUSI</t>
        </is>
      </c>
      <c r="B52" s="13" t="n"/>
      <c r="C52" s="13" t="n"/>
      <c r="D52" s="14">
        <f>SUM(D2:D51)</f>
        <v/>
      </c>
      <c r="E52" s="13" t="n"/>
      <c r="F52" s="13" t="n"/>
      <c r="G52" s="13" t="n"/>
      <c r="H52" s="13" t="n"/>
      <c r="I52" s="14">
        <f>SUM(I2:I51)</f>
        <v/>
      </c>
    </row>
  </sheetData>
  <dataValidations count="3">
    <dataValidation sqref="A2:A251 B2:B61" showDropDown="0" showInputMessage="0" showErrorMessage="0" allowBlank="1" type="list">
      <formula1>'_RefData'!$A$2:$A$4</formula1>
    </dataValidation>
    <dataValidation sqref="C2:C251 D2:D61 E2:E89" showDropDown="0" showInputMessage="0" showErrorMessage="0" allowBlank="1" type="list">
      <formula1>'_RefData'!$B$2:$B$5</formula1>
    </dataValidation>
    <dataValidation sqref="D2:D89 E2:E51 F2:F251" showDropDown="0" showInputMessage="0" showErrorMessage="0" allowBlank="1" type="list">
      <formula1>'_RefData'!$C$2:$C$29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20" customWidth="1" min="4" max="4"/>
    <col width="33" customWidth="1" min="5" max="5"/>
    <col width="21" customWidth="1" min="6" max="6"/>
    <col width="20" customWidth="1" min="7" max="7"/>
  </cols>
  <sheetData>
    <row r="1" ht="26" customHeight="1">
      <c r="A1" s="1" t="inlineStr">
        <is>
          <t>Kunci</t>
        </is>
      </c>
      <c r="B1" s="1" t="inlineStr">
        <is>
          <t>Sumber Pendanaan</t>
        </is>
      </c>
      <c r="C1" s="1" t="inlineStr">
        <is>
          <t>Barang</t>
        </is>
      </c>
      <c r="D1" s="1" t="inlineStr">
        <is>
          <t>Kategori Barang</t>
        </is>
      </c>
      <c r="E1" s="1" t="inlineStr">
        <is>
          <t>Stok Akhir Periode Sebelumnya</t>
        </is>
      </c>
      <c r="F1" s="1" t="inlineStr">
        <is>
          <t>Harga Satuan (Rp)</t>
        </is>
      </c>
      <c r="G1" s="1" t="inlineStr">
        <is>
          <t>Nilai Total (Rp)</t>
        </is>
      </c>
    </row>
    <row r="2" ht="20" customHeight="1">
      <c r="A2" s="6">
        <f>B2&amp;"|"&amp;C2&amp;"|"&amp;D2</f>
        <v/>
      </c>
      <c r="B2" s="2" t="inlineStr">
        <is>
          <t>APBD</t>
        </is>
      </c>
      <c r="C2" s="3" t="inlineStr">
        <is>
          <t>Chainsaw</t>
        </is>
      </c>
      <c r="D2" s="2" t="inlineStr">
        <is>
          <t>Logistik Lainnya</t>
        </is>
      </c>
      <c r="E2" s="4" t="n">
        <v>10</v>
      </c>
      <c r="F2" s="4" t="n">
        <v>4500000</v>
      </c>
      <c r="G2" s="4" t="n">
        <v>45000000</v>
      </c>
    </row>
    <row r="3" ht="20" customHeight="1">
      <c r="A3" s="11">
        <f>B3&amp;"|"&amp;C3&amp;"|"&amp;D3</f>
        <v/>
      </c>
      <c r="B3" s="7" t="inlineStr">
        <is>
          <t>APBN</t>
        </is>
      </c>
      <c r="C3" s="8" t="inlineStr">
        <is>
          <t>Chainsaw</t>
        </is>
      </c>
      <c r="D3" s="7" t="inlineStr">
        <is>
          <t>Logistik Lainnya</t>
        </is>
      </c>
      <c r="E3" s="9" t="n">
        <v>10</v>
      </c>
      <c r="F3" s="9" t="n">
        <v>4500000</v>
      </c>
      <c r="G3" s="9" t="n">
        <v>45000000</v>
      </c>
    </row>
    <row r="4" ht="20" customHeight="1">
      <c r="A4" s="6">
        <f>B4&amp;"|"&amp;C4&amp;"|"&amp;D4</f>
        <v/>
      </c>
      <c r="B4" s="2" t="inlineStr">
        <is>
          <t>CSR</t>
        </is>
      </c>
      <c r="C4" s="3" t="inlineStr">
        <is>
          <t>Chainsaw</t>
        </is>
      </c>
      <c r="D4" s="2" t="inlineStr">
        <is>
          <t>Logistik Lainnya</t>
        </is>
      </c>
      <c r="E4" s="4" t="n">
        <v>10</v>
      </c>
      <c r="F4" s="4" t="n">
        <v>4500000</v>
      </c>
      <c r="G4" s="4" t="n">
        <v>45000000</v>
      </c>
    </row>
    <row r="5" ht="20" customHeight="1">
      <c r="A5" s="11">
        <f>B5&amp;"|"&amp;C5&amp;"|"&amp;D5</f>
        <v/>
      </c>
      <c r="B5" s="7" t="inlineStr">
        <is>
          <t>APBD</t>
        </is>
      </c>
      <c r="C5" s="8" t="inlineStr">
        <is>
          <t>Family Kit</t>
        </is>
      </c>
      <c r="D5" s="7" t="inlineStr">
        <is>
          <t>Logistik Lainnya</t>
        </is>
      </c>
      <c r="E5" s="9" t="n">
        <v>300</v>
      </c>
      <c r="F5" s="9" t="n">
        <v>350000</v>
      </c>
      <c r="G5" s="9" t="n">
        <v>105000000</v>
      </c>
    </row>
    <row r="6" ht="20" customHeight="1">
      <c r="A6" s="6">
        <f>B6&amp;"|"&amp;C6&amp;"|"&amp;D6</f>
        <v/>
      </c>
      <c r="B6" s="2" t="inlineStr">
        <is>
          <t>APBN</t>
        </is>
      </c>
      <c r="C6" s="3" t="inlineStr">
        <is>
          <t>Family Kit</t>
        </is>
      </c>
      <c r="D6" s="2" t="inlineStr">
        <is>
          <t>Logistik Lainnya</t>
        </is>
      </c>
      <c r="E6" s="4" t="n">
        <v>300</v>
      </c>
      <c r="F6" s="4" t="n">
        <v>350000</v>
      </c>
      <c r="G6" s="4" t="n">
        <v>105000000</v>
      </c>
    </row>
    <row r="7" ht="20" customHeight="1">
      <c r="A7" s="11">
        <f>B7&amp;"|"&amp;C7&amp;"|"&amp;D7</f>
        <v/>
      </c>
      <c r="B7" s="7" t="inlineStr">
        <is>
          <t>CSR</t>
        </is>
      </c>
      <c r="C7" s="8" t="inlineStr">
        <is>
          <t>Family Kit</t>
        </is>
      </c>
      <c r="D7" s="7" t="inlineStr">
        <is>
          <t>Logistik Lainnya</t>
        </is>
      </c>
      <c r="E7" s="9" t="n">
        <v>300</v>
      </c>
      <c r="F7" s="9" t="n">
        <v>350000</v>
      </c>
      <c r="G7" s="9" t="n">
        <v>105000000</v>
      </c>
    </row>
    <row r="8" ht="20" customHeight="1">
      <c r="A8" s="6">
        <f>B8&amp;"|"&amp;C8&amp;"|"&amp;D8</f>
        <v/>
      </c>
      <c r="B8" s="2" t="inlineStr">
        <is>
          <t>APBD</t>
        </is>
      </c>
      <c r="C8" s="3" t="inlineStr">
        <is>
          <t>Genset</t>
        </is>
      </c>
      <c r="D8" s="2" t="inlineStr">
        <is>
          <t>Logistik Lainnya</t>
        </is>
      </c>
      <c r="E8" s="4" t="n">
        <v>8</v>
      </c>
      <c r="F8" s="4" t="n">
        <v>12500000</v>
      </c>
      <c r="G8" s="4" t="n">
        <v>100000000</v>
      </c>
    </row>
    <row r="9" ht="20" customHeight="1">
      <c r="A9" s="11">
        <f>B9&amp;"|"&amp;C9&amp;"|"&amp;D9</f>
        <v/>
      </c>
      <c r="B9" s="7" t="inlineStr">
        <is>
          <t>APBN</t>
        </is>
      </c>
      <c r="C9" s="8" t="inlineStr">
        <is>
          <t>Genset</t>
        </is>
      </c>
      <c r="D9" s="7" t="inlineStr">
        <is>
          <t>Logistik Lainnya</t>
        </is>
      </c>
      <c r="E9" s="9" t="n">
        <v>8</v>
      </c>
      <c r="F9" s="9" t="n">
        <v>12500000</v>
      </c>
      <c r="G9" s="9" t="n">
        <v>100000000</v>
      </c>
    </row>
    <row r="10" ht="20" customHeight="1">
      <c r="A10" s="6">
        <f>B10&amp;"|"&amp;C10&amp;"|"&amp;D10</f>
        <v/>
      </c>
      <c r="B10" s="2" t="inlineStr">
        <is>
          <t>CSR</t>
        </is>
      </c>
      <c r="C10" s="3" t="inlineStr">
        <is>
          <t>Genset</t>
        </is>
      </c>
      <c r="D10" s="2" t="inlineStr">
        <is>
          <t>Logistik Lainnya</t>
        </is>
      </c>
      <c r="E10" s="4" t="n">
        <v>8</v>
      </c>
      <c r="F10" s="4" t="n">
        <v>12500000</v>
      </c>
      <c r="G10" s="4" t="n">
        <v>100000000</v>
      </c>
    </row>
    <row r="11" ht="20" customHeight="1">
      <c r="A11" s="11">
        <f>B11&amp;"|"&amp;C11&amp;"|"&amp;D11</f>
        <v/>
      </c>
      <c r="B11" s="7" t="inlineStr">
        <is>
          <t>APBD</t>
        </is>
      </c>
      <c r="C11" s="8" t="inlineStr">
        <is>
          <t>Perahu Karet</t>
        </is>
      </c>
      <c r="D11" s="7" t="inlineStr">
        <is>
          <t>Logistik Lainnya</t>
        </is>
      </c>
      <c r="E11" s="9" t="n">
        <v>5</v>
      </c>
      <c r="F11" s="9" t="n">
        <v>35000000</v>
      </c>
      <c r="G11" s="9" t="n">
        <v>175000000</v>
      </c>
    </row>
    <row r="12" ht="20" customHeight="1">
      <c r="A12" s="6">
        <f>B12&amp;"|"&amp;C12&amp;"|"&amp;D12</f>
        <v/>
      </c>
      <c r="B12" s="2" t="inlineStr">
        <is>
          <t>APBN</t>
        </is>
      </c>
      <c r="C12" s="3" t="inlineStr">
        <is>
          <t>Perahu Karet</t>
        </is>
      </c>
      <c r="D12" s="2" t="inlineStr">
        <is>
          <t>Logistik Lainnya</t>
        </is>
      </c>
      <c r="E12" s="4" t="n">
        <v>5</v>
      </c>
      <c r="F12" s="4" t="n">
        <v>35000000</v>
      </c>
      <c r="G12" s="4" t="n">
        <v>175000000</v>
      </c>
    </row>
    <row r="13" ht="20" customHeight="1">
      <c r="A13" s="11">
        <f>B13&amp;"|"&amp;C13&amp;"|"&amp;D13</f>
        <v/>
      </c>
      <c r="B13" s="7" t="inlineStr">
        <is>
          <t>CSR</t>
        </is>
      </c>
      <c r="C13" s="8" t="inlineStr">
        <is>
          <t>Perahu Karet</t>
        </is>
      </c>
      <c r="D13" s="7" t="inlineStr">
        <is>
          <t>Logistik Lainnya</t>
        </is>
      </c>
      <c r="E13" s="9" t="n">
        <v>5</v>
      </c>
      <c r="F13" s="9" t="n">
        <v>35000000</v>
      </c>
      <c r="G13" s="9" t="n">
        <v>175000000</v>
      </c>
    </row>
    <row r="14" ht="20" customHeight="1">
      <c r="A14" s="6">
        <f>B14&amp;"|"&amp;C14&amp;"|"&amp;D14</f>
        <v/>
      </c>
      <c r="B14" s="2" t="inlineStr">
        <is>
          <t>APBD</t>
        </is>
      </c>
      <c r="C14" s="3" t="inlineStr">
        <is>
          <t>Sanitasi Kit</t>
        </is>
      </c>
      <c r="D14" s="2" t="inlineStr">
        <is>
          <t>Logistik Lainnya</t>
        </is>
      </c>
      <c r="E14" s="4" t="n">
        <v>240</v>
      </c>
      <c r="F14" s="4" t="n">
        <v>250000</v>
      </c>
      <c r="G14" s="4" t="n">
        <v>60000000</v>
      </c>
    </row>
    <row r="15" ht="20" customHeight="1">
      <c r="A15" s="11">
        <f>B15&amp;"|"&amp;C15&amp;"|"&amp;D15</f>
        <v/>
      </c>
      <c r="B15" s="7" t="inlineStr">
        <is>
          <t>APBN</t>
        </is>
      </c>
      <c r="C15" s="8" t="inlineStr">
        <is>
          <t>Sanitasi Kit</t>
        </is>
      </c>
      <c r="D15" s="7" t="inlineStr">
        <is>
          <t>Logistik Lainnya</t>
        </is>
      </c>
      <c r="E15" s="9" t="n">
        <v>240</v>
      </c>
      <c r="F15" s="9" t="n">
        <v>250000</v>
      </c>
      <c r="G15" s="9" t="n">
        <v>60000000</v>
      </c>
    </row>
    <row r="16" ht="20" customHeight="1">
      <c r="A16" s="6">
        <f>B16&amp;"|"&amp;C16&amp;"|"&amp;D16</f>
        <v/>
      </c>
      <c r="B16" s="2" t="inlineStr">
        <is>
          <t>CSR</t>
        </is>
      </c>
      <c r="C16" s="3" t="inlineStr">
        <is>
          <t>Sanitasi Kit</t>
        </is>
      </c>
      <c r="D16" s="2" t="inlineStr">
        <is>
          <t>Logistik Lainnya</t>
        </is>
      </c>
      <c r="E16" s="4" t="n">
        <v>240</v>
      </c>
      <c r="F16" s="4" t="n">
        <v>250000</v>
      </c>
      <c r="G16" s="4" t="n">
        <v>60000000</v>
      </c>
    </row>
    <row r="17" ht="20" customHeight="1">
      <c r="A17" s="11">
        <f>B17&amp;"|"&amp;C17&amp;"|"&amp;D17</f>
        <v/>
      </c>
      <c r="B17" s="7" t="inlineStr">
        <is>
          <t>APBD</t>
        </is>
      </c>
      <c r="C17" s="8" t="inlineStr">
        <is>
          <t>Air Mineral</t>
        </is>
      </c>
      <c r="D17" s="7" t="inlineStr">
        <is>
          <t>Pangan</t>
        </is>
      </c>
      <c r="E17" s="9" t="n">
        <v>1200</v>
      </c>
      <c r="F17" s="9" t="n">
        <v>30000</v>
      </c>
      <c r="G17" s="9" t="n">
        <v>36000000</v>
      </c>
    </row>
    <row r="18" ht="20" customHeight="1">
      <c r="A18" s="6">
        <f>B18&amp;"|"&amp;C18&amp;"|"&amp;D18</f>
        <v/>
      </c>
      <c r="B18" s="2" t="inlineStr">
        <is>
          <t>APBN</t>
        </is>
      </c>
      <c r="C18" s="3" t="inlineStr">
        <is>
          <t>Air Mineral</t>
        </is>
      </c>
      <c r="D18" s="2" t="inlineStr">
        <is>
          <t>Pangan</t>
        </is>
      </c>
      <c r="E18" s="4" t="n">
        <v>1200</v>
      </c>
      <c r="F18" s="4" t="n">
        <v>30000</v>
      </c>
      <c r="G18" s="4" t="n">
        <v>36000000</v>
      </c>
    </row>
    <row r="19" ht="20" customHeight="1">
      <c r="A19" s="11">
        <f>B19&amp;"|"&amp;C19&amp;"|"&amp;D19</f>
        <v/>
      </c>
      <c r="B19" s="7" t="inlineStr">
        <is>
          <t>CSR</t>
        </is>
      </c>
      <c r="C19" s="8" t="inlineStr">
        <is>
          <t>Air Mineral</t>
        </is>
      </c>
      <c r="D19" s="7" t="inlineStr">
        <is>
          <t>Pangan</t>
        </is>
      </c>
      <c r="E19" s="9" t="n">
        <v>1200</v>
      </c>
      <c r="F19" s="9" t="n">
        <v>30000</v>
      </c>
      <c r="G19" s="9" t="n">
        <v>36000000</v>
      </c>
    </row>
    <row r="20" ht="20" customHeight="1">
      <c r="A20" s="6">
        <f>B20&amp;"|"&amp;C20&amp;"|"&amp;D20</f>
        <v/>
      </c>
      <c r="B20" s="2" t="inlineStr">
        <is>
          <t>APBD</t>
        </is>
      </c>
      <c r="C20" s="3" t="inlineStr">
        <is>
          <t>Beras</t>
        </is>
      </c>
      <c r="D20" s="2" t="inlineStr">
        <is>
          <t>Pangan</t>
        </is>
      </c>
      <c r="E20" s="4" t="n">
        <v>3000</v>
      </c>
      <c r="F20" s="4" t="n">
        <v>15000</v>
      </c>
      <c r="G20" s="4" t="n">
        <v>45000000</v>
      </c>
    </row>
    <row r="21" ht="20" customHeight="1">
      <c r="A21" s="11">
        <f>B21&amp;"|"&amp;C21&amp;"|"&amp;D21</f>
        <v/>
      </c>
      <c r="B21" s="7" t="inlineStr">
        <is>
          <t>APBN</t>
        </is>
      </c>
      <c r="C21" s="8" t="inlineStr">
        <is>
          <t>Beras</t>
        </is>
      </c>
      <c r="D21" s="7" t="inlineStr">
        <is>
          <t>Pangan</t>
        </is>
      </c>
      <c r="E21" s="9" t="n">
        <v>3000</v>
      </c>
      <c r="F21" s="9" t="n">
        <v>15000</v>
      </c>
      <c r="G21" s="9" t="n">
        <v>45000000</v>
      </c>
    </row>
    <row r="22" ht="20" customHeight="1">
      <c r="A22" s="6">
        <f>B22&amp;"|"&amp;C22&amp;"|"&amp;D22</f>
        <v/>
      </c>
      <c r="B22" s="2" t="inlineStr">
        <is>
          <t>CSR</t>
        </is>
      </c>
      <c r="C22" s="3" t="inlineStr">
        <is>
          <t>Beras</t>
        </is>
      </c>
      <c r="D22" s="2" t="inlineStr">
        <is>
          <t>Pangan</t>
        </is>
      </c>
      <c r="E22" s="4" t="n">
        <v>3000</v>
      </c>
      <c r="F22" s="4" t="n">
        <v>15000</v>
      </c>
      <c r="G22" s="4" t="n">
        <v>45000000</v>
      </c>
    </row>
    <row r="23" ht="20" customHeight="1">
      <c r="A23" s="11">
        <f>B23&amp;"|"&amp;C23&amp;"|"&amp;D23</f>
        <v/>
      </c>
      <c r="B23" s="7" t="inlineStr">
        <is>
          <t>APBD</t>
        </is>
      </c>
      <c r="C23" s="8" t="inlineStr">
        <is>
          <t>Biskuit</t>
        </is>
      </c>
      <c r="D23" s="7" t="inlineStr">
        <is>
          <t>Pangan</t>
        </is>
      </c>
      <c r="E23" s="9" t="n">
        <v>600</v>
      </c>
      <c r="F23" s="9" t="n">
        <v>25000</v>
      </c>
      <c r="G23" s="9" t="n">
        <v>15000000</v>
      </c>
    </row>
    <row r="24" ht="20" customHeight="1">
      <c r="A24" s="6">
        <f>B24&amp;"|"&amp;C24&amp;"|"&amp;D24</f>
        <v/>
      </c>
      <c r="B24" s="2" t="inlineStr">
        <is>
          <t>APBN</t>
        </is>
      </c>
      <c r="C24" s="3" t="inlineStr">
        <is>
          <t>Biskuit</t>
        </is>
      </c>
      <c r="D24" s="2" t="inlineStr">
        <is>
          <t>Pangan</t>
        </is>
      </c>
      <c r="E24" s="4" t="n">
        <v>600</v>
      </c>
      <c r="F24" s="4" t="n">
        <v>25000</v>
      </c>
      <c r="G24" s="4" t="n">
        <v>15000000</v>
      </c>
    </row>
    <row r="25" ht="20" customHeight="1">
      <c r="A25" s="11">
        <f>B25&amp;"|"&amp;C25&amp;"|"&amp;D25</f>
        <v/>
      </c>
      <c r="B25" s="7" t="inlineStr">
        <is>
          <t>CSR</t>
        </is>
      </c>
      <c r="C25" s="8" t="inlineStr">
        <is>
          <t>Biskuit</t>
        </is>
      </c>
      <c r="D25" s="7" t="inlineStr">
        <is>
          <t>Pangan</t>
        </is>
      </c>
      <c r="E25" s="9" t="n">
        <v>780</v>
      </c>
      <c r="F25" s="9" t="n">
        <v>25000</v>
      </c>
      <c r="G25" s="9" t="n">
        <v>19500000</v>
      </c>
    </row>
    <row r="26" ht="20" customHeight="1">
      <c r="A26" s="6">
        <f>B26&amp;"|"&amp;C26&amp;"|"&amp;D26</f>
        <v/>
      </c>
      <c r="B26" s="2" t="inlineStr">
        <is>
          <t>APBD</t>
        </is>
      </c>
      <c r="C26" s="3" t="inlineStr">
        <is>
          <t>Lauk Pauk</t>
        </is>
      </c>
      <c r="D26" s="2" t="inlineStr">
        <is>
          <t>Pangan</t>
        </is>
      </c>
      <c r="E26" s="4" t="n">
        <v>900</v>
      </c>
      <c r="F26" s="4" t="n">
        <v>35000</v>
      </c>
      <c r="G26" s="4" t="n">
        <v>31500000</v>
      </c>
    </row>
    <row r="27" ht="20" customHeight="1">
      <c r="A27" s="11">
        <f>B27&amp;"|"&amp;C27&amp;"|"&amp;D27</f>
        <v/>
      </c>
      <c r="B27" s="7" t="inlineStr">
        <is>
          <t>APBN</t>
        </is>
      </c>
      <c r="C27" s="8" t="inlineStr">
        <is>
          <t>Lauk Pauk</t>
        </is>
      </c>
      <c r="D27" s="7" t="inlineStr">
        <is>
          <t>Pangan</t>
        </is>
      </c>
      <c r="E27" s="9" t="n">
        <v>900</v>
      </c>
      <c r="F27" s="9" t="n">
        <v>35000</v>
      </c>
      <c r="G27" s="9" t="n">
        <v>31500000</v>
      </c>
    </row>
    <row r="28" ht="20" customHeight="1">
      <c r="A28" s="6">
        <f>B28&amp;"|"&amp;C28&amp;"|"&amp;D28</f>
        <v/>
      </c>
      <c r="B28" s="2" t="inlineStr">
        <is>
          <t>CSR</t>
        </is>
      </c>
      <c r="C28" s="3" t="inlineStr">
        <is>
          <t>Lauk Pauk</t>
        </is>
      </c>
      <c r="D28" s="2" t="inlineStr">
        <is>
          <t>Pangan</t>
        </is>
      </c>
      <c r="E28" s="4" t="n">
        <v>900</v>
      </c>
      <c r="F28" s="4" t="n">
        <v>35000</v>
      </c>
      <c r="G28" s="4" t="n">
        <v>31500000</v>
      </c>
    </row>
    <row r="29" ht="20" customHeight="1">
      <c r="A29" s="11">
        <f>B29&amp;"|"&amp;C29&amp;"|"&amp;D29</f>
        <v/>
      </c>
      <c r="B29" s="7" t="inlineStr">
        <is>
          <t>APBD</t>
        </is>
      </c>
      <c r="C29" s="8" t="inlineStr">
        <is>
          <t>Makanan Siap Saji</t>
        </is>
      </c>
      <c r="D29" s="7" t="inlineStr">
        <is>
          <t>Pangan</t>
        </is>
      </c>
      <c r="E29" s="9" t="n">
        <v>1000</v>
      </c>
      <c r="F29" s="9" t="n">
        <v>45000</v>
      </c>
      <c r="G29" s="9" t="n">
        <v>45000000</v>
      </c>
    </row>
    <row r="30" ht="20" customHeight="1">
      <c r="A30" s="6">
        <f>B30&amp;"|"&amp;C30&amp;"|"&amp;D30</f>
        <v/>
      </c>
      <c r="B30" s="2" t="inlineStr">
        <is>
          <t>APBN</t>
        </is>
      </c>
      <c r="C30" s="3" t="inlineStr">
        <is>
          <t>Makanan Siap Saji</t>
        </is>
      </c>
      <c r="D30" s="2" t="inlineStr">
        <is>
          <t>Pangan</t>
        </is>
      </c>
      <c r="E30" s="4" t="n">
        <v>1000</v>
      </c>
      <c r="F30" s="4" t="n">
        <v>45000</v>
      </c>
      <c r="G30" s="4" t="n">
        <v>45000000</v>
      </c>
    </row>
    <row r="31" ht="20" customHeight="1">
      <c r="A31" s="11">
        <f>B31&amp;"|"&amp;C31&amp;"|"&amp;D31</f>
        <v/>
      </c>
      <c r="B31" s="7" t="inlineStr">
        <is>
          <t>CSR</t>
        </is>
      </c>
      <c r="C31" s="8" t="inlineStr">
        <is>
          <t>Makanan Siap Saji</t>
        </is>
      </c>
      <c r="D31" s="7" t="inlineStr">
        <is>
          <t>Pangan</t>
        </is>
      </c>
      <c r="E31" s="9" t="n">
        <v>1000</v>
      </c>
      <c r="F31" s="9" t="n">
        <v>45000</v>
      </c>
      <c r="G31" s="9" t="n">
        <v>45000000</v>
      </c>
    </row>
    <row r="32" ht="20" customHeight="1">
      <c r="A32" s="6">
        <f>B32&amp;"|"&amp;C32&amp;"|"&amp;D32</f>
        <v/>
      </c>
      <c r="B32" s="2" t="inlineStr">
        <is>
          <t>APBD</t>
        </is>
      </c>
      <c r="C32" s="3" t="inlineStr">
        <is>
          <t>Susu Formula</t>
        </is>
      </c>
      <c r="D32" s="2" t="inlineStr">
        <is>
          <t>Pangan</t>
        </is>
      </c>
      <c r="E32" s="4" t="n">
        <v>240</v>
      </c>
      <c r="F32" s="4" t="n">
        <v>65000</v>
      </c>
      <c r="G32" s="4" t="n">
        <v>15600000</v>
      </c>
    </row>
    <row r="33" ht="20" customHeight="1">
      <c r="A33" s="11">
        <f>B33&amp;"|"&amp;C33&amp;"|"&amp;D33</f>
        <v/>
      </c>
      <c r="B33" s="7" t="inlineStr">
        <is>
          <t>APBN</t>
        </is>
      </c>
      <c r="C33" s="8" t="inlineStr">
        <is>
          <t>Susu Formula</t>
        </is>
      </c>
      <c r="D33" s="7" t="inlineStr">
        <is>
          <t>Pangan</t>
        </is>
      </c>
      <c r="E33" s="9" t="n">
        <v>240</v>
      </c>
      <c r="F33" s="9" t="n">
        <v>65000</v>
      </c>
      <c r="G33" s="9" t="n">
        <v>15600000</v>
      </c>
    </row>
    <row r="34" ht="20" customHeight="1">
      <c r="A34" s="6">
        <f>B34&amp;"|"&amp;C34&amp;"|"&amp;D34</f>
        <v/>
      </c>
      <c r="B34" s="2" t="inlineStr">
        <is>
          <t>CSR</t>
        </is>
      </c>
      <c r="C34" s="3" t="inlineStr">
        <is>
          <t>Susu Formula</t>
        </is>
      </c>
      <c r="D34" s="2" t="inlineStr">
        <is>
          <t>Pangan</t>
        </is>
      </c>
      <c r="E34" s="4" t="n">
        <v>240</v>
      </c>
      <c r="F34" s="4" t="n">
        <v>65000</v>
      </c>
      <c r="G34" s="4" t="n">
        <v>15600000</v>
      </c>
    </row>
    <row r="35" ht="20" customHeight="1">
      <c r="A35" s="11">
        <f>B35&amp;"|"&amp;C35&amp;"|"&amp;D35</f>
        <v/>
      </c>
      <c r="B35" s="7" t="inlineStr">
        <is>
          <t>APBD</t>
        </is>
      </c>
      <c r="C35" s="8" t="inlineStr">
        <is>
          <t>Seng</t>
        </is>
      </c>
      <c r="D35" s="7" t="inlineStr">
        <is>
          <t>Papan</t>
        </is>
      </c>
      <c r="E35" s="9" t="n">
        <v>400</v>
      </c>
      <c r="F35" s="9" t="n">
        <v>90000</v>
      </c>
      <c r="G35" s="9" t="n">
        <v>36000000</v>
      </c>
    </row>
    <row r="36" ht="20" customHeight="1">
      <c r="A36" s="6">
        <f>B36&amp;"|"&amp;C36&amp;"|"&amp;D36</f>
        <v/>
      </c>
      <c r="B36" s="2" t="inlineStr">
        <is>
          <t>APBN</t>
        </is>
      </c>
      <c r="C36" s="3" t="inlineStr">
        <is>
          <t>Seng</t>
        </is>
      </c>
      <c r="D36" s="2" t="inlineStr">
        <is>
          <t>Papan</t>
        </is>
      </c>
      <c r="E36" s="4" t="n">
        <v>400</v>
      </c>
      <c r="F36" s="4" t="n">
        <v>90000</v>
      </c>
      <c r="G36" s="4" t="n">
        <v>36000000</v>
      </c>
    </row>
    <row r="37" ht="20" customHeight="1">
      <c r="A37" s="11">
        <f>B37&amp;"|"&amp;C37&amp;"|"&amp;D37</f>
        <v/>
      </c>
      <c r="B37" s="7" t="inlineStr">
        <is>
          <t>CSR</t>
        </is>
      </c>
      <c r="C37" s="8" t="inlineStr">
        <is>
          <t>Seng</t>
        </is>
      </c>
      <c r="D37" s="7" t="inlineStr">
        <is>
          <t>Papan</t>
        </is>
      </c>
      <c r="E37" s="9" t="n">
        <v>400</v>
      </c>
      <c r="F37" s="9" t="n">
        <v>90000</v>
      </c>
      <c r="G37" s="9" t="n">
        <v>36000000</v>
      </c>
    </row>
    <row r="38" ht="20" customHeight="1">
      <c r="A38" s="6">
        <f>B38&amp;"|"&amp;C38&amp;"|"&amp;D38</f>
        <v/>
      </c>
      <c r="B38" s="2" t="inlineStr">
        <is>
          <t>APBD</t>
        </is>
      </c>
      <c r="C38" s="3" t="inlineStr">
        <is>
          <t>Tenda Keluarga</t>
        </is>
      </c>
      <c r="D38" s="2" t="inlineStr">
        <is>
          <t>Papan</t>
        </is>
      </c>
      <c r="E38" s="4" t="n">
        <v>50</v>
      </c>
      <c r="F38" s="4" t="n">
        <v>3200000</v>
      </c>
      <c r="G38" s="4" t="n">
        <v>160000000</v>
      </c>
    </row>
    <row r="39" ht="20" customHeight="1">
      <c r="A39" s="11">
        <f>B39&amp;"|"&amp;C39&amp;"|"&amp;D39</f>
        <v/>
      </c>
      <c r="B39" s="7" t="inlineStr">
        <is>
          <t>APBN</t>
        </is>
      </c>
      <c r="C39" s="8" t="inlineStr">
        <is>
          <t>Tenda Keluarga</t>
        </is>
      </c>
      <c r="D39" s="7" t="inlineStr">
        <is>
          <t>Papan</t>
        </is>
      </c>
      <c r="E39" s="9" t="n">
        <v>50</v>
      </c>
      <c r="F39" s="9" t="n">
        <v>3200000</v>
      </c>
      <c r="G39" s="9" t="n">
        <v>160000000</v>
      </c>
    </row>
    <row r="40" ht="20" customHeight="1">
      <c r="A40" s="6">
        <f>B40&amp;"|"&amp;C40&amp;"|"&amp;D40</f>
        <v/>
      </c>
      <c r="B40" s="2" t="inlineStr">
        <is>
          <t>CSR</t>
        </is>
      </c>
      <c r="C40" s="3" t="inlineStr">
        <is>
          <t>Tenda Keluarga</t>
        </is>
      </c>
      <c r="D40" s="2" t="inlineStr">
        <is>
          <t>Papan</t>
        </is>
      </c>
      <c r="E40" s="4" t="n">
        <v>50</v>
      </c>
      <c r="F40" s="4" t="n">
        <v>3200000</v>
      </c>
      <c r="G40" s="4" t="n">
        <v>160000000</v>
      </c>
    </row>
    <row r="41" ht="20" customHeight="1">
      <c r="A41" s="11">
        <f>B41&amp;"|"&amp;C41&amp;"|"&amp;D41</f>
        <v/>
      </c>
      <c r="B41" s="7" t="inlineStr">
        <is>
          <t>APBD</t>
        </is>
      </c>
      <c r="C41" s="8" t="inlineStr">
        <is>
          <t>Tenda Pengungsi</t>
        </is>
      </c>
      <c r="D41" s="7" t="inlineStr">
        <is>
          <t>Papan</t>
        </is>
      </c>
      <c r="E41" s="9" t="n">
        <v>30</v>
      </c>
      <c r="F41" s="9" t="n">
        <v>8500000</v>
      </c>
      <c r="G41" s="9" t="n">
        <v>255000000</v>
      </c>
    </row>
    <row r="42" ht="20" customHeight="1">
      <c r="A42" s="6">
        <f>B42&amp;"|"&amp;C42&amp;"|"&amp;D42</f>
        <v/>
      </c>
      <c r="B42" s="2" t="inlineStr">
        <is>
          <t>APBN</t>
        </is>
      </c>
      <c r="C42" s="3" t="inlineStr">
        <is>
          <t>Tenda Pengungsi</t>
        </is>
      </c>
      <c r="D42" s="2" t="inlineStr">
        <is>
          <t>Papan</t>
        </is>
      </c>
      <c r="E42" s="4" t="n">
        <v>30</v>
      </c>
      <c r="F42" s="4" t="n">
        <v>8500000</v>
      </c>
      <c r="G42" s="4" t="n">
        <v>255000000</v>
      </c>
    </row>
    <row r="43" ht="20" customHeight="1">
      <c r="A43" s="11">
        <f>B43&amp;"|"&amp;C43&amp;"|"&amp;D43</f>
        <v/>
      </c>
      <c r="B43" s="7" t="inlineStr">
        <is>
          <t>CSR</t>
        </is>
      </c>
      <c r="C43" s="8" t="inlineStr">
        <is>
          <t>Tenda Pengungsi</t>
        </is>
      </c>
      <c r="D43" s="7" t="inlineStr">
        <is>
          <t>Papan</t>
        </is>
      </c>
      <c r="E43" s="9" t="n">
        <v>30</v>
      </c>
      <c r="F43" s="9" t="n">
        <v>8500000</v>
      </c>
      <c r="G43" s="9" t="n">
        <v>255000000</v>
      </c>
    </row>
    <row r="44" ht="20" customHeight="1">
      <c r="A44" s="6">
        <f>B44&amp;"|"&amp;C44&amp;"|"&amp;D44</f>
        <v/>
      </c>
      <c r="B44" s="2" t="inlineStr">
        <is>
          <t>APBD</t>
        </is>
      </c>
      <c r="C44" s="3" t="inlineStr">
        <is>
          <t>Terpal</t>
        </is>
      </c>
      <c r="D44" s="2" t="inlineStr">
        <is>
          <t>Papan</t>
        </is>
      </c>
      <c r="E44" s="4" t="n">
        <v>240</v>
      </c>
      <c r="F44" s="4" t="n">
        <v>150000</v>
      </c>
      <c r="G44" s="4" t="n">
        <v>36000000</v>
      </c>
    </row>
    <row r="45" ht="20" customHeight="1">
      <c r="A45" s="11">
        <f>B45&amp;"|"&amp;C45&amp;"|"&amp;D45</f>
        <v/>
      </c>
      <c r="B45" s="7" t="inlineStr">
        <is>
          <t>APBN</t>
        </is>
      </c>
      <c r="C45" s="8" t="inlineStr">
        <is>
          <t>Terpal</t>
        </is>
      </c>
      <c r="D45" s="7" t="inlineStr">
        <is>
          <t>Papan</t>
        </is>
      </c>
      <c r="E45" s="9" t="n">
        <v>240</v>
      </c>
      <c r="F45" s="9" t="n">
        <v>150000</v>
      </c>
      <c r="G45" s="9" t="n">
        <v>36000000</v>
      </c>
    </row>
    <row r="46" ht="20" customHeight="1">
      <c r="A46" s="6">
        <f>B46&amp;"|"&amp;C46&amp;"|"&amp;D46</f>
        <v/>
      </c>
      <c r="B46" s="2" t="inlineStr">
        <is>
          <t>CSR</t>
        </is>
      </c>
      <c r="C46" s="3" t="inlineStr">
        <is>
          <t>Terpal</t>
        </is>
      </c>
      <c r="D46" s="2" t="inlineStr">
        <is>
          <t>Papan</t>
        </is>
      </c>
      <c r="E46" s="4" t="n">
        <v>240</v>
      </c>
      <c r="F46" s="4" t="n">
        <v>150000</v>
      </c>
      <c r="G46" s="4" t="n">
        <v>36000000</v>
      </c>
    </row>
    <row r="47" ht="20" customHeight="1">
      <c r="A47" s="11">
        <f>B47&amp;"|"&amp;C47&amp;"|"&amp;D47</f>
        <v/>
      </c>
      <c r="B47" s="7" t="inlineStr">
        <is>
          <t>APBD</t>
        </is>
      </c>
      <c r="C47" s="8" t="inlineStr">
        <is>
          <t>Matras</t>
        </is>
      </c>
      <c r="D47" s="7" t="inlineStr">
        <is>
          <t>Sandang</t>
        </is>
      </c>
      <c r="E47" s="9" t="n">
        <v>300</v>
      </c>
      <c r="F47" s="9" t="n">
        <v>120000</v>
      </c>
      <c r="G47" s="9" t="n">
        <v>36000000</v>
      </c>
    </row>
    <row r="48" ht="20" customHeight="1">
      <c r="A48" s="6">
        <f>B48&amp;"|"&amp;C48&amp;"|"&amp;D48</f>
        <v/>
      </c>
      <c r="B48" s="2" t="inlineStr">
        <is>
          <t>APBN</t>
        </is>
      </c>
      <c r="C48" s="3" t="inlineStr">
        <is>
          <t>Matras</t>
        </is>
      </c>
      <c r="D48" s="2" t="inlineStr">
        <is>
          <t>Sandang</t>
        </is>
      </c>
      <c r="E48" s="4" t="n">
        <v>300</v>
      </c>
      <c r="F48" s="4" t="n">
        <v>120000</v>
      </c>
      <c r="G48" s="4" t="n">
        <v>36000000</v>
      </c>
    </row>
    <row r="49" ht="20" customHeight="1">
      <c r="A49" s="11">
        <f>B49&amp;"|"&amp;C49&amp;"|"&amp;D49</f>
        <v/>
      </c>
      <c r="B49" s="7" t="inlineStr">
        <is>
          <t>CSR</t>
        </is>
      </c>
      <c r="C49" s="8" t="inlineStr">
        <is>
          <t>Matras</t>
        </is>
      </c>
      <c r="D49" s="7" t="inlineStr">
        <is>
          <t>Sandang</t>
        </is>
      </c>
      <c r="E49" s="9" t="n">
        <v>300</v>
      </c>
      <c r="F49" s="9" t="n">
        <v>120000</v>
      </c>
      <c r="G49" s="9" t="n">
        <v>36000000</v>
      </c>
    </row>
    <row r="50" ht="20" customHeight="1">
      <c r="A50" s="6">
        <f>B50&amp;"|"&amp;C50&amp;"|"&amp;D50</f>
        <v/>
      </c>
      <c r="B50" s="2" t="inlineStr">
        <is>
          <t>APBD</t>
        </is>
      </c>
      <c r="C50" s="3" t="inlineStr">
        <is>
          <t>Pakaian Anak</t>
        </is>
      </c>
      <c r="D50" s="2" t="inlineStr">
        <is>
          <t>Sandang</t>
        </is>
      </c>
      <c r="E50" s="4" t="n">
        <v>360</v>
      </c>
      <c r="F50" s="4" t="n">
        <v>75000</v>
      </c>
      <c r="G50" s="4" t="n">
        <v>27000000</v>
      </c>
    </row>
    <row r="51" ht="20" customHeight="1">
      <c r="A51" s="11">
        <f>B51&amp;"|"&amp;C51&amp;"|"&amp;D51</f>
        <v/>
      </c>
      <c r="B51" s="7" t="inlineStr">
        <is>
          <t>APBN</t>
        </is>
      </c>
      <c r="C51" s="8" t="inlineStr">
        <is>
          <t>Pakaian Anak</t>
        </is>
      </c>
      <c r="D51" s="7" t="inlineStr">
        <is>
          <t>Sandang</t>
        </is>
      </c>
      <c r="E51" s="9" t="n">
        <v>360</v>
      </c>
      <c r="F51" s="9" t="n">
        <v>75000</v>
      </c>
      <c r="G51" s="9" t="n">
        <v>27000000</v>
      </c>
    </row>
    <row r="52" ht="20" customHeight="1">
      <c r="A52" s="6">
        <f>B52&amp;"|"&amp;C52&amp;"|"&amp;D52</f>
        <v/>
      </c>
      <c r="B52" s="2" t="inlineStr">
        <is>
          <t>CSR</t>
        </is>
      </c>
      <c r="C52" s="3" t="inlineStr">
        <is>
          <t>Pakaian Anak</t>
        </is>
      </c>
      <c r="D52" s="2" t="inlineStr">
        <is>
          <t>Sandang</t>
        </is>
      </c>
      <c r="E52" s="4" t="n">
        <v>420</v>
      </c>
      <c r="F52" s="4" t="n">
        <v>75000</v>
      </c>
      <c r="G52" s="4" t="n">
        <v>31500000</v>
      </c>
    </row>
    <row r="53" ht="20" customHeight="1">
      <c r="A53" s="11">
        <f>B53&amp;"|"&amp;C53&amp;"|"&amp;D53</f>
        <v/>
      </c>
      <c r="B53" s="7" t="inlineStr">
        <is>
          <t>APBD</t>
        </is>
      </c>
      <c r="C53" s="8" t="inlineStr">
        <is>
          <t>Pakaian Dewasa</t>
        </is>
      </c>
      <c r="D53" s="7" t="inlineStr">
        <is>
          <t>Sandang</t>
        </is>
      </c>
      <c r="E53" s="9" t="n">
        <v>500</v>
      </c>
      <c r="F53" s="9" t="n">
        <v>95000</v>
      </c>
      <c r="G53" s="9" t="n">
        <v>47500000</v>
      </c>
    </row>
    <row r="54" ht="20" customHeight="1">
      <c r="A54" s="6">
        <f>B54&amp;"|"&amp;C54&amp;"|"&amp;D54</f>
        <v/>
      </c>
      <c r="B54" s="2" t="inlineStr">
        <is>
          <t>APBN</t>
        </is>
      </c>
      <c r="C54" s="3" t="inlineStr">
        <is>
          <t>Pakaian Dewasa</t>
        </is>
      </c>
      <c r="D54" s="2" t="inlineStr">
        <is>
          <t>Sandang</t>
        </is>
      </c>
      <c r="E54" s="4" t="n">
        <v>500</v>
      </c>
      <c r="F54" s="4" t="n">
        <v>95000</v>
      </c>
      <c r="G54" s="4" t="n">
        <v>47500000</v>
      </c>
    </row>
    <row r="55" ht="20" customHeight="1">
      <c r="A55" s="11">
        <f>B55&amp;"|"&amp;C55&amp;"|"&amp;D55</f>
        <v/>
      </c>
      <c r="B55" s="7" t="inlineStr">
        <is>
          <t>CSR</t>
        </is>
      </c>
      <c r="C55" s="8" t="inlineStr">
        <is>
          <t>Pakaian Dewasa</t>
        </is>
      </c>
      <c r="D55" s="7" t="inlineStr">
        <is>
          <t>Sandang</t>
        </is>
      </c>
      <c r="E55" s="9" t="n">
        <v>500</v>
      </c>
      <c r="F55" s="9" t="n">
        <v>95000</v>
      </c>
      <c r="G55" s="9" t="n">
        <v>47500000</v>
      </c>
    </row>
    <row r="56" ht="20" customHeight="1">
      <c r="A56" s="6">
        <f>B56&amp;"|"&amp;C56&amp;"|"&amp;D56</f>
        <v/>
      </c>
      <c r="B56" s="2" t="inlineStr">
        <is>
          <t>APBD</t>
        </is>
      </c>
      <c r="C56" s="3" t="inlineStr">
        <is>
          <t>Sarung</t>
        </is>
      </c>
      <c r="D56" s="2" t="inlineStr">
        <is>
          <t>Sandang</t>
        </is>
      </c>
      <c r="E56" s="4" t="n">
        <v>200</v>
      </c>
      <c r="F56" s="4" t="n">
        <v>60000</v>
      </c>
      <c r="G56" s="4" t="n">
        <v>12000000</v>
      </c>
    </row>
    <row r="57" ht="20" customHeight="1">
      <c r="A57" s="11">
        <f>B57&amp;"|"&amp;C57&amp;"|"&amp;D57</f>
        <v/>
      </c>
      <c r="B57" s="7" t="inlineStr">
        <is>
          <t>APBN</t>
        </is>
      </c>
      <c r="C57" s="8" t="inlineStr">
        <is>
          <t>Sarung</t>
        </is>
      </c>
      <c r="D57" s="7" t="inlineStr">
        <is>
          <t>Sandang</t>
        </is>
      </c>
      <c r="E57" s="9" t="n">
        <v>200</v>
      </c>
      <c r="F57" s="9" t="n">
        <v>60000</v>
      </c>
      <c r="G57" s="9" t="n">
        <v>12000000</v>
      </c>
    </row>
    <row r="58" ht="20" customHeight="1">
      <c r="A58" s="6">
        <f>B58&amp;"|"&amp;C58&amp;"|"&amp;D58</f>
        <v/>
      </c>
      <c r="B58" s="2" t="inlineStr">
        <is>
          <t>CSR</t>
        </is>
      </c>
      <c r="C58" s="3" t="inlineStr">
        <is>
          <t>Sarung</t>
        </is>
      </c>
      <c r="D58" s="2" t="inlineStr">
        <is>
          <t>Sandang</t>
        </is>
      </c>
      <c r="E58" s="4" t="n">
        <v>200</v>
      </c>
      <c r="F58" s="4" t="n">
        <v>60000</v>
      </c>
      <c r="G58" s="4" t="n">
        <v>12000000</v>
      </c>
    </row>
    <row r="59" ht="20" customHeight="1">
      <c r="A59" s="11">
        <f>B59&amp;"|"&amp;C59&amp;"|"&amp;D59</f>
        <v/>
      </c>
      <c r="B59" s="7" t="inlineStr">
        <is>
          <t>APBD</t>
        </is>
      </c>
      <c r="C59" s="8" t="inlineStr">
        <is>
          <t>Selimut</t>
        </is>
      </c>
      <c r="D59" s="7" t="inlineStr">
        <is>
          <t>Sandang</t>
        </is>
      </c>
      <c r="E59" s="9" t="n">
        <v>400</v>
      </c>
      <c r="F59" s="9" t="n">
        <v>85000</v>
      </c>
      <c r="G59" s="9" t="n">
        <v>34000000</v>
      </c>
    </row>
    <row r="60" ht="20" customHeight="1">
      <c r="A60" s="6">
        <f>B60&amp;"|"&amp;C60&amp;"|"&amp;D60</f>
        <v/>
      </c>
      <c r="B60" s="2" t="inlineStr">
        <is>
          <t>APBN</t>
        </is>
      </c>
      <c r="C60" s="3" t="inlineStr">
        <is>
          <t>Selimut</t>
        </is>
      </c>
      <c r="D60" s="2" t="inlineStr">
        <is>
          <t>Sandang</t>
        </is>
      </c>
      <c r="E60" s="4" t="n">
        <v>400</v>
      </c>
      <c r="F60" s="4" t="n">
        <v>85000</v>
      </c>
      <c r="G60" s="4" t="n">
        <v>34000000</v>
      </c>
    </row>
    <row r="61" ht="20" customHeight="1">
      <c r="A61" s="11">
        <f>B61&amp;"|"&amp;C61&amp;"|"&amp;D61</f>
        <v/>
      </c>
      <c r="B61" s="7" t="inlineStr">
        <is>
          <t>CSR</t>
        </is>
      </c>
      <c r="C61" s="8" t="inlineStr">
        <is>
          <t>Selimut</t>
        </is>
      </c>
      <c r="D61" s="7" t="inlineStr">
        <is>
          <t>Sandang</t>
        </is>
      </c>
      <c r="E61" s="9" t="n">
        <v>400</v>
      </c>
      <c r="F61" s="9" t="n">
        <v>85000</v>
      </c>
      <c r="G61" s="9" t="n">
        <v>34000000</v>
      </c>
    </row>
    <row r="62">
      <c r="A62" s="13" t="n"/>
      <c r="B62" s="12" t="inlineStr">
        <is>
          <t>TOTAL STOK AWAL</t>
        </is>
      </c>
      <c r="C62" s="13" t="n"/>
      <c r="D62" s="13" t="n"/>
      <c r="E62" s="14">
        <f>SUM(E2:E61)</f>
        <v/>
      </c>
      <c r="F62" s="13" t="n"/>
      <c r="G62" s="14">
        <f>SUM(G2:G61)</f>
        <v/>
      </c>
    </row>
  </sheetData>
  <dataValidations count="2">
    <dataValidation sqref="A2:A251 B2:B61" showDropDown="0" showInputMessage="0" showErrorMessage="0" allowBlank="1" type="list">
      <formula1>'_RefData'!$A$2:$A$4</formula1>
    </dataValidation>
    <dataValidation sqref="C2:C251 D2:D61 E2:E89" showDropDown="0" showInputMessage="0" showErrorMessage="0" allowBlank="1" type="list">
      <formula1>'_RefData'!$B$2:$B$5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0" customWidth="1" min="3" max="3"/>
    <col width="196" customWidth="1" min="4" max="4"/>
    <col width="21" customWidth="1" min="5" max="5"/>
    <col width="25" customWidth="1" min="6" max="6"/>
  </cols>
  <sheetData>
    <row r="1" ht="26" customHeight="1">
      <c r="A1" s="1" t="inlineStr">
        <is>
          <t>Sumber Pendanaan</t>
        </is>
      </c>
      <c r="B1" s="1" t="inlineStr">
        <is>
          <t>Barang</t>
        </is>
      </c>
      <c r="C1" s="1" t="inlineStr">
        <is>
          <t>Kategori Barang</t>
        </is>
      </c>
      <c r="D1" s="1" t="inlineStr">
        <is>
          <t>Stok Fisik</t>
        </is>
      </c>
      <c r="E1" s="1" t="inlineStr">
        <is>
          <t>Harga Satuan (Rp)</t>
        </is>
      </c>
      <c r="F1" s="1" t="inlineStr">
        <is>
          <t>Nilai Total Stok (Rp)</t>
        </is>
      </c>
    </row>
    <row r="2" ht="20" customHeight="1">
      <c r="A2" s="2" t="inlineStr">
        <is>
          <t>APBD</t>
        </is>
      </c>
      <c r="B2" s="3" t="inlineStr">
        <is>
          <t>Chainsaw</t>
        </is>
      </c>
      <c r="C2" s="2" t="inlineStr">
        <is>
          <t>Logistik Lainnya</t>
        </is>
      </c>
      <c r="D2" s="4">
        <f>'Stok Awal'!E2 + SUMIFS(Penerimaan!D:D, Penerimaan!A:A, A2, Penerimaan!B:B, B2, Penerimaan!C:C, C2) - SUMIFS(Distribusi!D:D, Distribusi!A:A, A2, Distribusi!B:B, B2, Distribusi!C:C, C2)</f>
        <v/>
      </c>
      <c r="E2" s="4" t="n">
        <v>4500000</v>
      </c>
      <c r="F2" s="4">
        <f>D2*E2</f>
        <v/>
      </c>
    </row>
    <row r="3" ht="20" customHeight="1">
      <c r="A3" s="7" t="inlineStr">
        <is>
          <t>APBN</t>
        </is>
      </c>
      <c r="B3" s="8" t="inlineStr">
        <is>
          <t>Chainsaw</t>
        </is>
      </c>
      <c r="C3" s="7" t="inlineStr">
        <is>
          <t>Logistik Lainnya</t>
        </is>
      </c>
      <c r="D3" s="9">
        <f>'Stok Awal'!E3 + SUMIFS(Penerimaan!D:D, Penerimaan!A:A, A3, Penerimaan!B:B, B3, Penerimaan!C:C, C3) - SUMIFS(Distribusi!D:D, Distribusi!A:A, A3, Distribusi!B:B, B3, Distribusi!C:C, C3)</f>
        <v/>
      </c>
      <c r="E3" s="9" t="n">
        <v>4500000</v>
      </c>
      <c r="F3" s="9">
        <f>D3*E3</f>
        <v/>
      </c>
    </row>
    <row r="4" ht="20" customHeight="1">
      <c r="A4" s="2" t="inlineStr">
        <is>
          <t>CSR</t>
        </is>
      </c>
      <c r="B4" s="3" t="inlineStr">
        <is>
          <t>Chainsaw</t>
        </is>
      </c>
      <c r="C4" s="2" t="inlineStr">
        <is>
          <t>Logistik Lainnya</t>
        </is>
      </c>
      <c r="D4" s="4">
        <f>'Stok Awal'!E4 + SUMIFS(Penerimaan!D:D, Penerimaan!A:A, A4, Penerimaan!B:B, B4, Penerimaan!C:C, C4) - SUMIFS(Distribusi!D:D, Distribusi!A:A, A4, Distribusi!B:B, B4, Distribusi!C:C, C4)</f>
        <v/>
      </c>
      <c r="E4" s="4" t="n">
        <v>4500000</v>
      </c>
      <c r="F4" s="4">
        <f>D4*E4</f>
        <v/>
      </c>
    </row>
    <row r="5" ht="20" customHeight="1">
      <c r="A5" s="7" t="inlineStr">
        <is>
          <t>APBD</t>
        </is>
      </c>
      <c r="B5" s="8" t="inlineStr">
        <is>
          <t>Family Kit</t>
        </is>
      </c>
      <c r="C5" s="7" t="inlineStr">
        <is>
          <t>Logistik Lainnya</t>
        </is>
      </c>
      <c r="D5" s="9">
        <f>'Stok Awal'!E5 + SUMIFS(Penerimaan!D:D, Penerimaan!A:A, A5, Penerimaan!B:B, B5, Penerimaan!C:C, C5) - SUMIFS(Distribusi!D:D, Distribusi!A:A, A5, Distribusi!B:B, B5, Distribusi!C:C, C5)</f>
        <v/>
      </c>
      <c r="E5" s="9" t="n">
        <v>350000</v>
      </c>
      <c r="F5" s="9">
        <f>D5*E5</f>
        <v/>
      </c>
    </row>
    <row r="6" ht="20" customHeight="1">
      <c r="A6" s="2" t="inlineStr">
        <is>
          <t>APBN</t>
        </is>
      </c>
      <c r="B6" s="3" t="inlineStr">
        <is>
          <t>Family Kit</t>
        </is>
      </c>
      <c r="C6" s="2" t="inlineStr">
        <is>
          <t>Logistik Lainnya</t>
        </is>
      </c>
      <c r="D6" s="4">
        <f>'Stok Awal'!E6 + SUMIFS(Penerimaan!D:D, Penerimaan!A:A, A6, Penerimaan!B:B, B6, Penerimaan!C:C, C6) - SUMIFS(Distribusi!D:D, Distribusi!A:A, A6, Distribusi!B:B, B6, Distribusi!C:C, C6)</f>
        <v/>
      </c>
      <c r="E6" s="4" t="n">
        <v>350000</v>
      </c>
      <c r="F6" s="4">
        <f>D6*E6</f>
        <v/>
      </c>
    </row>
    <row r="7" ht="20" customHeight="1">
      <c r="A7" s="7" t="inlineStr">
        <is>
          <t>CSR</t>
        </is>
      </c>
      <c r="B7" s="8" t="inlineStr">
        <is>
          <t>Family Kit</t>
        </is>
      </c>
      <c r="C7" s="7" t="inlineStr">
        <is>
          <t>Logistik Lainnya</t>
        </is>
      </c>
      <c r="D7" s="9">
        <f>'Stok Awal'!E7 + SUMIFS(Penerimaan!D:D, Penerimaan!A:A, A7, Penerimaan!B:B, B7, Penerimaan!C:C, C7) - SUMIFS(Distribusi!D:D, Distribusi!A:A, A7, Distribusi!B:B, B7, Distribusi!C:C, C7)</f>
        <v/>
      </c>
      <c r="E7" s="9" t="n">
        <v>350000</v>
      </c>
      <c r="F7" s="9">
        <f>D7*E7</f>
        <v/>
      </c>
    </row>
    <row r="8" ht="20" customHeight="1">
      <c r="A8" s="2" t="inlineStr">
        <is>
          <t>APBD</t>
        </is>
      </c>
      <c r="B8" s="3" t="inlineStr">
        <is>
          <t>Genset</t>
        </is>
      </c>
      <c r="C8" s="2" t="inlineStr">
        <is>
          <t>Logistik Lainnya</t>
        </is>
      </c>
      <c r="D8" s="4">
        <f>'Stok Awal'!E8 + SUMIFS(Penerimaan!D:D, Penerimaan!A:A, A8, Penerimaan!B:B, B8, Penerimaan!C:C, C8) - SUMIFS(Distribusi!D:D, Distribusi!A:A, A8, Distribusi!B:B, B8, Distribusi!C:C, C8)</f>
        <v/>
      </c>
      <c r="E8" s="4" t="n">
        <v>12500000</v>
      </c>
      <c r="F8" s="4">
        <f>D8*E8</f>
        <v/>
      </c>
    </row>
    <row r="9" ht="20" customHeight="1">
      <c r="A9" s="7" t="inlineStr">
        <is>
          <t>APBN</t>
        </is>
      </c>
      <c r="B9" s="8" t="inlineStr">
        <is>
          <t>Genset</t>
        </is>
      </c>
      <c r="C9" s="7" t="inlineStr">
        <is>
          <t>Logistik Lainnya</t>
        </is>
      </c>
      <c r="D9" s="9">
        <f>'Stok Awal'!E9 + SUMIFS(Penerimaan!D:D, Penerimaan!A:A, A9, Penerimaan!B:B, B9, Penerimaan!C:C, C9) - SUMIFS(Distribusi!D:D, Distribusi!A:A, A9, Distribusi!B:B, B9, Distribusi!C:C, C9)</f>
        <v/>
      </c>
      <c r="E9" s="9" t="n">
        <v>12500000</v>
      </c>
      <c r="F9" s="9">
        <f>D9*E9</f>
        <v/>
      </c>
    </row>
    <row r="10" ht="20" customHeight="1">
      <c r="A10" s="2" t="inlineStr">
        <is>
          <t>CSR</t>
        </is>
      </c>
      <c r="B10" s="3" t="inlineStr">
        <is>
          <t>Genset</t>
        </is>
      </c>
      <c r="C10" s="2" t="inlineStr">
        <is>
          <t>Logistik Lainnya</t>
        </is>
      </c>
      <c r="D10" s="4">
        <f>'Stok Awal'!E10 + SUMIFS(Penerimaan!D:D, Penerimaan!A:A, A10, Penerimaan!B:B, B10, Penerimaan!C:C, C10) - SUMIFS(Distribusi!D:D, Distribusi!A:A, A10, Distribusi!B:B, B10, Distribusi!C:C, C10)</f>
        <v/>
      </c>
      <c r="E10" s="4" t="n">
        <v>12500000</v>
      </c>
      <c r="F10" s="4">
        <f>D10*E10</f>
        <v/>
      </c>
    </row>
    <row r="11" ht="20" customHeight="1">
      <c r="A11" s="7" t="inlineStr">
        <is>
          <t>APBD</t>
        </is>
      </c>
      <c r="B11" s="8" t="inlineStr">
        <is>
          <t>Perahu Karet</t>
        </is>
      </c>
      <c r="C11" s="7" t="inlineStr">
        <is>
          <t>Logistik Lainnya</t>
        </is>
      </c>
      <c r="D11" s="9">
        <f>'Stok Awal'!E11 + SUMIFS(Penerimaan!D:D, Penerimaan!A:A, A11, Penerimaan!B:B, B11, Penerimaan!C:C, C11) - SUMIFS(Distribusi!D:D, Distribusi!A:A, A11, Distribusi!B:B, B11, Distribusi!C:C, C11)</f>
        <v/>
      </c>
      <c r="E11" s="9" t="n">
        <v>35000000</v>
      </c>
      <c r="F11" s="9">
        <f>D11*E11</f>
        <v/>
      </c>
    </row>
    <row r="12" ht="20" customHeight="1">
      <c r="A12" s="2" t="inlineStr">
        <is>
          <t>APBN</t>
        </is>
      </c>
      <c r="B12" s="3" t="inlineStr">
        <is>
          <t>Perahu Karet</t>
        </is>
      </c>
      <c r="C12" s="2" t="inlineStr">
        <is>
          <t>Logistik Lainnya</t>
        </is>
      </c>
      <c r="D12" s="4">
        <f>'Stok Awal'!E12 + SUMIFS(Penerimaan!D:D, Penerimaan!A:A, A12, Penerimaan!B:B, B12, Penerimaan!C:C, C12) - SUMIFS(Distribusi!D:D, Distribusi!A:A, A12, Distribusi!B:B, B12, Distribusi!C:C, C12)</f>
        <v/>
      </c>
      <c r="E12" s="4" t="n">
        <v>35000000</v>
      </c>
      <c r="F12" s="4">
        <f>D12*E12</f>
        <v/>
      </c>
    </row>
    <row r="13" ht="20" customHeight="1">
      <c r="A13" s="7" t="inlineStr">
        <is>
          <t>CSR</t>
        </is>
      </c>
      <c r="B13" s="8" t="inlineStr">
        <is>
          <t>Perahu Karet</t>
        </is>
      </c>
      <c r="C13" s="7" t="inlineStr">
        <is>
          <t>Logistik Lainnya</t>
        </is>
      </c>
      <c r="D13" s="9">
        <f>'Stok Awal'!E13 + SUMIFS(Penerimaan!D:D, Penerimaan!A:A, A13, Penerimaan!B:B, B13, Penerimaan!C:C, C13) - SUMIFS(Distribusi!D:D, Distribusi!A:A, A13, Distribusi!B:B, B13, Distribusi!C:C, C13)</f>
        <v/>
      </c>
      <c r="E13" s="9" t="n">
        <v>35000000</v>
      </c>
      <c r="F13" s="9">
        <f>D13*E13</f>
        <v/>
      </c>
    </row>
    <row r="14" ht="20" customHeight="1">
      <c r="A14" s="2" t="inlineStr">
        <is>
          <t>APBD</t>
        </is>
      </c>
      <c r="B14" s="3" t="inlineStr">
        <is>
          <t>Sanitasi Kit</t>
        </is>
      </c>
      <c r="C14" s="2" t="inlineStr">
        <is>
          <t>Logistik Lainnya</t>
        </is>
      </c>
      <c r="D14" s="4">
        <f>'Stok Awal'!E14 + SUMIFS(Penerimaan!D:D, Penerimaan!A:A, A14, Penerimaan!B:B, B14, Penerimaan!C:C, C14) - SUMIFS(Distribusi!D:D, Distribusi!A:A, A14, Distribusi!B:B, B14, Distribusi!C:C, C14)</f>
        <v/>
      </c>
      <c r="E14" s="4" t="n">
        <v>250000</v>
      </c>
      <c r="F14" s="4">
        <f>D14*E14</f>
        <v/>
      </c>
    </row>
    <row r="15" ht="20" customHeight="1">
      <c r="A15" s="7" t="inlineStr">
        <is>
          <t>APBN</t>
        </is>
      </c>
      <c r="B15" s="8" t="inlineStr">
        <is>
          <t>Sanitasi Kit</t>
        </is>
      </c>
      <c r="C15" s="7" t="inlineStr">
        <is>
          <t>Logistik Lainnya</t>
        </is>
      </c>
      <c r="D15" s="9">
        <f>'Stok Awal'!E15 + SUMIFS(Penerimaan!D:D, Penerimaan!A:A, A15, Penerimaan!B:B, B15, Penerimaan!C:C, C15) - SUMIFS(Distribusi!D:D, Distribusi!A:A, A15, Distribusi!B:B, B15, Distribusi!C:C, C15)</f>
        <v/>
      </c>
      <c r="E15" s="9" t="n">
        <v>250000</v>
      </c>
      <c r="F15" s="9">
        <f>D15*E15</f>
        <v/>
      </c>
    </row>
    <row r="16" ht="20" customHeight="1">
      <c r="A16" s="2" t="inlineStr">
        <is>
          <t>CSR</t>
        </is>
      </c>
      <c r="B16" s="3" t="inlineStr">
        <is>
          <t>Sanitasi Kit</t>
        </is>
      </c>
      <c r="C16" s="2" t="inlineStr">
        <is>
          <t>Logistik Lainnya</t>
        </is>
      </c>
      <c r="D16" s="4">
        <f>'Stok Awal'!E16 + SUMIFS(Penerimaan!D:D, Penerimaan!A:A, A16, Penerimaan!B:B, B16, Penerimaan!C:C, C16) - SUMIFS(Distribusi!D:D, Distribusi!A:A, A16, Distribusi!B:B, B16, Distribusi!C:C, C16)</f>
        <v/>
      </c>
      <c r="E16" s="4" t="n">
        <v>250000</v>
      </c>
      <c r="F16" s="4">
        <f>D16*E16</f>
        <v/>
      </c>
    </row>
    <row r="17" ht="20" customHeight="1">
      <c r="A17" s="7" t="inlineStr">
        <is>
          <t>APBD</t>
        </is>
      </c>
      <c r="B17" s="8" t="inlineStr">
        <is>
          <t>Air Mineral</t>
        </is>
      </c>
      <c r="C17" s="7" t="inlineStr">
        <is>
          <t>Pangan</t>
        </is>
      </c>
      <c r="D17" s="9">
        <f>'Stok Awal'!E17 + SUMIFS(Penerimaan!D:D, Penerimaan!A:A, A17, Penerimaan!B:B, B17, Penerimaan!C:C, C17) - SUMIFS(Distribusi!D:D, Distribusi!A:A, A17, Distribusi!B:B, B17, Distribusi!C:C, C17)</f>
        <v/>
      </c>
      <c r="E17" s="9" t="n">
        <v>30000</v>
      </c>
      <c r="F17" s="9">
        <f>D17*E17</f>
        <v/>
      </c>
    </row>
    <row r="18" ht="20" customHeight="1">
      <c r="A18" s="2" t="inlineStr">
        <is>
          <t>APBN</t>
        </is>
      </c>
      <c r="B18" s="3" t="inlineStr">
        <is>
          <t>Air Mineral</t>
        </is>
      </c>
      <c r="C18" s="2" t="inlineStr">
        <is>
          <t>Pangan</t>
        </is>
      </c>
      <c r="D18" s="4">
        <f>'Stok Awal'!E18 + SUMIFS(Penerimaan!D:D, Penerimaan!A:A, A18, Penerimaan!B:B, B18, Penerimaan!C:C, C18) - SUMIFS(Distribusi!D:D, Distribusi!A:A, A18, Distribusi!B:B, B18, Distribusi!C:C, C18)</f>
        <v/>
      </c>
      <c r="E18" s="4" t="n">
        <v>30000</v>
      </c>
      <c r="F18" s="4">
        <f>D18*E18</f>
        <v/>
      </c>
    </row>
    <row r="19" ht="20" customHeight="1">
      <c r="A19" s="7" t="inlineStr">
        <is>
          <t>CSR</t>
        </is>
      </c>
      <c r="B19" s="8" t="inlineStr">
        <is>
          <t>Air Mineral</t>
        </is>
      </c>
      <c r="C19" s="7" t="inlineStr">
        <is>
          <t>Pangan</t>
        </is>
      </c>
      <c r="D19" s="9">
        <f>'Stok Awal'!E19 + SUMIFS(Penerimaan!D:D, Penerimaan!A:A, A19, Penerimaan!B:B, B19, Penerimaan!C:C, C19) - SUMIFS(Distribusi!D:D, Distribusi!A:A, A19, Distribusi!B:B, B19, Distribusi!C:C, C19)</f>
        <v/>
      </c>
      <c r="E19" s="9" t="n">
        <v>30000</v>
      </c>
      <c r="F19" s="9">
        <f>D19*E19</f>
        <v/>
      </c>
    </row>
    <row r="20" ht="20" customHeight="1">
      <c r="A20" s="2" t="inlineStr">
        <is>
          <t>APBD</t>
        </is>
      </c>
      <c r="B20" s="3" t="inlineStr">
        <is>
          <t>Beras</t>
        </is>
      </c>
      <c r="C20" s="2" t="inlineStr">
        <is>
          <t>Pangan</t>
        </is>
      </c>
      <c r="D20" s="4">
        <f>'Stok Awal'!E20 + SUMIFS(Penerimaan!D:D, Penerimaan!A:A, A20, Penerimaan!B:B, B20, Penerimaan!C:C, C20) - SUMIFS(Distribusi!D:D, Distribusi!A:A, A20, Distribusi!B:B, B20, Distribusi!C:C, C20)</f>
        <v/>
      </c>
      <c r="E20" s="4" t="n">
        <v>15000</v>
      </c>
      <c r="F20" s="4">
        <f>D20*E20</f>
        <v/>
      </c>
    </row>
    <row r="21" ht="20" customHeight="1">
      <c r="A21" s="7" t="inlineStr">
        <is>
          <t>APBN</t>
        </is>
      </c>
      <c r="B21" s="8" t="inlineStr">
        <is>
          <t>Beras</t>
        </is>
      </c>
      <c r="C21" s="7" t="inlineStr">
        <is>
          <t>Pangan</t>
        </is>
      </c>
      <c r="D21" s="9">
        <f>'Stok Awal'!E21 + SUMIFS(Penerimaan!D:D, Penerimaan!A:A, A21, Penerimaan!B:B, B21, Penerimaan!C:C, C21) - SUMIFS(Distribusi!D:D, Distribusi!A:A, A21, Distribusi!B:B, B21, Distribusi!C:C, C21)</f>
        <v/>
      </c>
      <c r="E21" s="9" t="n">
        <v>15000</v>
      </c>
      <c r="F21" s="9">
        <f>D21*E21</f>
        <v/>
      </c>
    </row>
    <row r="22" ht="20" customHeight="1">
      <c r="A22" s="2" t="inlineStr">
        <is>
          <t>CSR</t>
        </is>
      </c>
      <c r="B22" s="3" t="inlineStr">
        <is>
          <t>Beras</t>
        </is>
      </c>
      <c r="C22" s="2" t="inlineStr">
        <is>
          <t>Pangan</t>
        </is>
      </c>
      <c r="D22" s="4">
        <f>'Stok Awal'!E22 + SUMIFS(Penerimaan!D:D, Penerimaan!A:A, A22, Penerimaan!B:B, B22, Penerimaan!C:C, C22) - SUMIFS(Distribusi!D:D, Distribusi!A:A, A22, Distribusi!B:B, B22, Distribusi!C:C, C22)</f>
        <v/>
      </c>
      <c r="E22" s="4" t="n">
        <v>15000</v>
      </c>
      <c r="F22" s="4">
        <f>D22*E22</f>
        <v/>
      </c>
    </row>
    <row r="23" ht="20" customHeight="1">
      <c r="A23" s="7" t="inlineStr">
        <is>
          <t>APBD</t>
        </is>
      </c>
      <c r="B23" s="8" t="inlineStr">
        <is>
          <t>Biskuit</t>
        </is>
      </c>
      <c r="C23" s="7" t="inlineStr">
        <is>
          <t>Pangan</t>
        </is>
      </c>
      <c r="D23" s="9">
        <f>'Stok Awal'!E23 + SUMIFS(Penerimaan!D:D, Penerimaan!A:A, A23, Penerimaan!B:B, B23, Penerimaan!C:C, C23) - SUMIFS(Distribusi!D:D, Distribusi!A:A, A23, Distribusi!B:B, B23, Distribusi!C:C, C23)</f>
        <v/>
      </c>
      <c r="E23" s="9" t="n">
        <v>25000</v>
      </c>
      <c r="F23" s="9">
        <f>D23*E23</f>
        <v/>
      </c>
    </row>
    <row r="24" ht="20" customHeight="1">
      <c r="A24" s="2" t="inlineStr">
        <is>
          <t>APBN</t>
        </is>
      </c>
      <c r="B24" s="3" t="inlineStr">
        <is>
          <t>Biskuit</t>
        </is>
      </c>
      <c r="C24" s="2" t="inlineStr">
        <is>
          <t>Pangan</t>
        </is>
      </c>
      <c r="D24" s="4">
        <f>'Stok Awal'!E24 + SUMIFS(Penerimaan!D:D, Penerimaan!A:A, A24, Penerimaan!B:B, B24, Penerimaan!C:C, C24) - SUMIFS(Distribusi!D:D, Distribusi!A:A, A24, Distribusi!B:B, B24, Distribusi!C:C, C24)</f>
        <v/>
      </c>
      <c r="E24" s="4" t="n">
        <v>25000</v>
      </c>
      <c r="F24" s="4">
        <f>D24*E24</f>
        <v/>
      </c>
    </row>
    <row r="25" ht="20" customHeight="1">
      <c r="A25" s="7" t="inlineStr">
        <is>
          <t>CSR</t>
        </is>
      </c>
      <c r="B25" s="8" t="inlineStr">
        <is>
          <t>Biskuit</t>
        </is>
      </c>
      <c r="C25" s="7" t="inlineStr">
        <is>
          <t>Pangan</t>
        </is>
      </c>
      <c r="D25" s="9">
        <f>'Stok Awal'!E25 + SUMIFS(Penerimaan!D:D, Penerimaan!A:A, A25, Penerimaan!B:B, B25, Penerimaan!C:C, C25) - SUMIFS(Distribusi!D:D, Distribusi!A:A, A25, Distribusi!B:B, B25, Distribusi!C:C, C25)</f>
        <v/>
      </c>
      <c r="E25" s="9" t="n">
        <v>25000</v>
      </c>
      <c r="F25" s="9">
        <f>D25*E25</f>
        <v/>
      </c>
    </row>
    <row r="26" ht="20" customHeight="1">
      <c r="A26" s="2" t="inlineStr">
        <is>
          <t>APBD</t>
        </is>
      </c>
      <c r="B26" s="3" t="inlineStr">
        <is>
          <t>Lauk Pauk</t>
        </is>
      </c>
      <c r="C26" s="2" t="inlineStr">
        <is>
          <t>Pangan</t>
        </is>
      </c>
      <c r="D26" s="4">
        <f>'Stok Awal'!E26 + SUMIFS(Penerimaan!D:D, Penerimaan!A:A, A26, Penerimaan!B:B, B26, Penerimaan!C:C, C26) - SUMIFS(Distribusi!D:D, Distribusi!A:A, A26, Distribusi!B:B, B26, Distribusi!C:C, C26)</f>
        <v/>
      </c>
      <c r="E26" s="4" t="n">
        <v>35000</v>
      </c>
      <c r="F26" s="4">
        <f>D26*E26</f>
        <v/>
      </c>
    </row>
    <row r="27" ht="20" customHeight="1">
      <c r="A27" s="7" t="inlineStr">
        <is>
          <t>APBN</t>
        </is>
      </c>
      <c r="B27" s="8" t="inlineStr">
        <is>
          <t>Lauk Pauk</t>
        </is>
      </c>
      <c r="C27" s="7" t="inlineStr">
        <is>
          <t>Pangan</t>
        </is>
      </c>
      <c r="D27" s="9">
        <f>'Stok Awal'!E27 + SUMIFS(Penerimaan!D:D, Penerimaan!A:A, A27, Penerimaan!B:B, B27, Penerimaan!C:C, C27) - SUMIFS(Distribusi!D:D, Distribusi!A:A, A27, Distribusi!B:B, B27, Distribusi!C:C, C27)</f>
        <v/>
      </c>
      <c r="E27" s="9" t="n">
        <v>35000</v>
      </c>
      <c r="F27" s="9">
        <f>D27*E27</f>
        <v/>
      </c>
    </row>
    <row r="28" ht="20" customHeight="1">
      <c r="A28" s="2" t="inlineStr">
        <is>
          <t>CSR</t>
        </is>
      </c>
      <c r="B28" s="3" t="inlineStr">
        <is>
          <t>Lauk Pauk</t>
        </is>
      </c>
      <c r="C28" s="2" t="inlineStr">
        <is>
          <t>Pangan</t>
        </is>
      </c>
      <c r="D28" s="4">
        <f>'Stok Awal'!E28 + SUMIFS(Penerimaan!D:D, Penerimaan!A:A, A28, Penerimaan!B:B, B28, Penerimaan!C:C, C28) - SUMIFS(Distribusi!D:D, Distribusi!A:A, A28, Distribusi!B:B, B28, Distribusi!C:C, C28)</f>
        <v/>
      </c>
      <c r="E28" s="4" t="n">
        <v>35000</v>
      </c>
      <c r="F28" s="4">
        <f>D28*E28</f>
        <v/>
      </c>
    </row>
    <row r="29" ht="20" customHeight="1">
      <c r="A29" s="7" t="inlineStr">
        <is>
          <t>APBD</t>
        </is>
      </c>
      <c r="B29" s="8" t="inlineStr">
        <is>
          <t>Makanan Siap Saji</t>
        </is>
      </c>
      <c r="C29" s="7" t="inlineStr">
        <is>
          <t>Pangan</t>
        </is>
      </c>
      <c r="D29" s="9">
        <f>'Stok Awal'!E29 + SUMIFS(Penerimaan!D:D, Penerimaan!A:A, A29, Penerimaan!B:B, B29, Penerimaan!C:C, C29) - SUMIFS(Distribusi!D:D, Distribusi!A:A, A29, Distribusi!B:B, B29, Distribusi!C:C, C29)</f>
        <v/>
      </c>
      <c r="E29" s="9" t="n">
        <v>45000</v>
      </c>
      <c r="F29" s="9">
        <f>D29*E29</f>
        <v/>
      </c>
    </row>
    <row r="30" ht="20" customHeight="1">
      <c r="A30" s="2" t="inlineStr">
        <is>
          <t>APBN</t>
        </is>
      </c>
      <c r="B30" s="3" t="inlineStr">
        <is>
          <t>Makanan Siap Saji</t>
        </is>
      </c>
      <c r="C30" s="2" t="inlineStr">
        <is>
          <t>Pangan</t>
        </is>
      </c>
      <c r="D30" s="4">
        <f>'Stok Awal'!E30 + SUMIFS(Penerimaan!D:D, Penerimaan!A:A, A30, Penerimaan!B:B, B30, Penerimaan!C:C, C30) - SUMIFS(Distribusi!D:D, Distribusi!A:A, A30, Distribusi!B:B, B30, Distribusi!C:C, C30)</f>
        <v/>
      </c>
      <c r="E30" s="4" t="n">
        <v>45000</v>
      </c>
      <c r="F30" s="4">
        <f>D30*E30</f>
        <v/>
      </c>
    </row>
    <row r="31" ht="20" customHeight="1">
      <c r="A31" s="7" t="inlineStr">
        <is>
          <t>CSR</t>
        </is>
      </c>
      <c r="B31" s="8" t="inlineStr">
        <is>
          <t>Makanan Siap Saji</t>
        </is>
      </c>
      <c r="C31" s="7" t="inlineStr">
        <is>
          <t>Pangan</t>
        </is>
      </c>
      <c r="D31" s="9">
        <f>'Stok Awal'!E31 + SUMIFS(Penerimaan!D:D, Penerimaan!A:A, A31, Penerimaan!B:B, B31, Penerimaan!C:C, C31) - SUMIFS(Distribusi!D:D, Distribusi!A:A, A31, Distribusi!B:B, B31, Distribusi!C:C, C31)</f>
        <v/>
      </c>
      <c r="E31" s="9" t="n">
        <v>45000</v>
      </c>
      <c r="F31" s="9">
        <f>D31*E31</f>
        <v/>
      </c>
    </row>
    <row r="32" ht="20" customHeight="1">
      <c r="A32" s="2" t="inlineStr">
        <is>
          <t>APBD</t>
        </is>
      </c>
      <c r="B32" s="3" t="inlineStr">
        <is>
          <t>Susu Formula</t>
        </is>
      </c>
      <c r="C32" s="2" t="inlineStr">
        <is>
          <t>Pangan</t>
        </is>
      </c>
      <c r="D32" s="4">
        <f>'Stok Awal'!E32 + SUMIFS(Penerimaan!D:D, Penerimaan!A:A, A32, Penerimaan!B:B, B32, Penerimaan!C:C, C32) - SUMIFS(Distribusi!D:D, Distribusi!A:A, A32, Distribusi!B:B, B32, Distribusi!C:C, C32)</f>
        <v/>
      </c>
      <c r="E32" s="4" t="n">
        <v>65000</v>
      </c>
      <c r="F32" s="4">
        <f>D32*E32</f>
        <v/>
      </c>
    </row>
    <row r="33" ht="20" customHeight="1">
      <c r="A33" s="7" t="inlineStr">
        <is>
          <t>APBN</t>
        </is>
      </c>
      <c r="B33" s="8" t="inlineStr">
        <is>
          <t>Susu Formula</t>
        </is>
      </c>
      <c r="C33" s="7" t="inlineStr">
        <is>
          <t>Pangan</t>
        </is>
      </c>
      <c r="D33" s="9">
        <f>'Stok Awal'!E33 + SUMIFS(Penerimaan!D:D, Penerimaan!A:A, A33, Penerimaan!B:B, B33, Penerimaan!C:C, C33) - SUMIFS(Distribusi!D:D, Distribusi!A:A, A33, Distribusi!B:B, B33, Distribusi!C:C, C33)</f>
        <v/>
      </c>
      <c r="E33" s="9" t="n">
        <v>65000</v>
      </c>
      <c r="F33" s="9">
        <f>D33*E33</f>
        <v/>
      </c>
    </row>
    <row r="34" ht="20" customHeight="1">
      <c r="A34" s="2" t="inlineStr">
        <is>
          <t>CSR</t>
        </is>
      </c>
      <c r="B34" s="3" t="inlineStr">
        <is>
          <t>Susu Formula</t>
        </is>
      </c>
      <c r="C34" s="2" t="inlineStr">
        <is>
          <t>Pangan</t>
        </is>
      </c>
      <c r="D34" s="4">
        <f>'Stok Awal'!E34 + SUMIFS(Penerimaan!D:D, Penerimaan!A:A, A34, Penerimaan!B:B, B34, Penerimaan!C:C, C34) - SUMIFS(Distribusi!D:D, Distribusi!A:A, A34, Distribusi!B:B, B34, Distribusi!C:C, C34)</f>
        <v/>
      </c>
      <c r="E34" s="4" t="n">
        <v>65000</v>
      </c>
      <c r="F34" s="4">
        <f>D34*E34</f>
        <v/>
      </c>
    </row>
    <row r="35" ht="20" customHeight="1">
      <c r="A35" s="7" t="inlineStr">
        <is>
          <t>APBD</t>
        </is>
      </c>
      <c r="B35" s="8" t="inlineStr">
        <is>
          <t>Seng</t>
        </is>
      </c>
      <c r="C35" s="7" t="inlineStr">
        <is>
          <t>Papan</t>
        </is>
      </c>
      <c r="D35" s="9">
        <f>'Stok Awal'!E35 + SUMIFS(Penerimaan!D:D, Penerimaan!A:A, A35, Penerimaan!B:B, B35, Penerimaan!C:C, C35) - SUMIFS(Distribusi!D:D, Distribusi!A:A, A35, Distribusi!B:B, B35, Distribusi!C:C, C35)</f>
        <v/>
      </c>
      <c r="E35" s="9" t="n">
        <v>90000</v>
      </c>
      <c r="F35" s="9">
        <f>D35*E35</f>
        <v/>
      </c>
    </row>
    <row r="36" ht="20" customHeight="1">
      <c r="A36" s="2" t="inlineStr">
        <is>
          <t>APBN</t>
        </is>
      </c>
      <c r="B36" s="3" t="inlineStr">
        <is>
          <t>Seng</t>
        </is>
      </c>
      <c r="C36" s="2" t="inlineStr">
        <is>
          <t>Papan</t>
        </is>
      </c>
      <c r="D36" s="4">
        <f>'Stok Awal'!E36 + SUMIFS(Penerimaan!D:D, Penerimaan!A:A, A36, Penerimaan!B:B, B36, Penerimaan!C:C, C36) - SUMIFS(Distribusi!D:D, Distribusi!A:A, A36, Distribusi!B:B, B36, Distribusi!C:C, C36)</f>
        <v/>
      </c>
      <c r="E36" s="4" t="n">
        <v>90000</v>
      </c>
      <c r="F36" s="4">
        <f>D36*E36</f>
        <v/>
      </c>
    </row>
    <row r="37" ht="20" customHeight="1">
      <c r="A37" s="7" t="inlineStr">
        <is>
          <t>CSR</t>
        </is>
      </c>
      <c r="B37" s="8" t="inlineStr">
        <is>
          <t>Seng</t>
        </is>
      </c>
      <c r="C37" s="7" t="inlineStr">
        <is>
          <t>Papan</t>
        </is>
      </c>
      <c r="D37" s="9">
        <f>'Stok Awal'!E37 + SUMIFS(Penerimaan!D:D, Penerimaan!A:A, A37, Penerimaan!B:B, B37, Penerimaan!C:C, C37) - SUMIFS(Distribusi!D:D, Distribusi!A:A, A37, Distribusi!B:B, B37, Distribusi!C:C, C37)</f>
        <v/>
      </c>
      <c r="E37" s="9" t="n">
        <v>90000</v>
      </c>
      <c r="F37" s="9">
        <f>D37*E37</f>
        <v/>
      </c>
    </row>
    <row r="38" ht="20" customHeight="1">
      <c r="A38" s="2" t="inlineStr">
        <is>
          <t>APBD</t>
        </is>
      </c>
      <c r="B38" s="3" t="inlineStr">
        <is>
          <t>Tenda Keluarga</t>
        </is>
      </c>
      <c r="C38" s="2" t="inlineStr">
        <is>
          <t>Papan</t>
        </is>
      </c>
      <c r="D38" s="4">
        <f>'Stok Awal'!E38 + SUMIFS(Penerimaan!D:D, Penerimaan!A:A, A38, Penerimaan!B:B, B38, Penerimaan!C:C, C38) - SUMIFS(Distribusi!D:D, Distribusi!A:A, A38, Distribusi!B:B, B38, Distribusi!C:C, C38)</f>
        <v/>
      </c>
      <c r="E38" s="4" t="n">
        <v>3200000</v>
      </c>
      <c r="F38" s="4">
        <f>D38*E38</f>
        <v/>
      </c>
    </row>
    <row r="39" ht="20" customHeight="1">
      <c r="A39" s="7" t="inlineStr">
        <is>
          <t>APBN</t>
        </is>
      </c>
      <c r="B39" s="8" t="inlineStr">
        <is>
          <t>Tenda Keluarga</t>
        </is>
      </c>
      <c r="C39" s="7" t="inlineStr">
        <is>
          <t>Papan</t>
        </is>
      </c>
      <c r="D39" s="9">
        <f>'Stok Awal'!E39 + SUMIFS(Penerimaan!D:D, Penerimaan!A:A, A39, Penerimaan!B:B, B39, Penerimaan!C:C, C39) - SUMIFS(Distribusi!D:D, Distribusi!A:A, A39, Distribusi!B:B, B39, Distribusi!C:C, C39)</f>
        <v/>
      </c>
      <c r="E39" s="9" t="n">
        <v>3200000</v>
      </c>
      <c r="F39" s="9">
        <f>D39*E39</f>
        <v/>
      </c>
    </row>
    <row r="40" ht="20" customHeight="1">
      <c r="A40" s="2" t="inlineStr">
        <is>
          <t>CSR</t>
        </is>
      </c>
      <c r="B40" s="3" t="inlineStr">
        <is>
          <t>Tenda Keluarga</t>
        </is>
      </c>
      <c r="C40" s="2" t="inlineStr">
        <is>
          <t>Papan</t>
        </is>
      </c>
      <c r="D40" s="4">
        <f>'Stok Awal'!E40 + SUMIFS(Penerimaan!D:D, Penerimaan!A:A, A40, Penerimaan!B:B, B40, Penerimaan!C:C, C40) - SUMIFS(Distribusi!D:D, Distribusi!A:A, A40, Distribusi!B:B, B40, Distribusi!C:C, C40)</f>
        <v/>
      </c>
      <c r="E40" s="4" t="n">
        <v>3200000</v>
      </c>
      <c r="F40" s="4">
        <f>D40*E40</f>
        <v/>
      </c>
    </row>
    <row r="41" ht="20" customHeight="1">
      <c r="A41" s="7" t="inlineStr">
        <is>
          <t>APBD</t>
        </is>
      </c>
      <c r="B41" s="8" t="inlineStr">
        <is>
          <t>Tenda Pengungsi</t>
        </is>
      </c>
      <c r="C41" s="7" t="inlineStr">
        <is>
          <t>Papan</t>
        </is>
      </c>
      <c r="D41" s="9">
        <f>'Stok Awal'!E41 + SUMIFS(Penerimaan!D:D, Penerimaan!A:A, A41, Penerimaan!B:B, B41, Penerimaan!C:C, C41) - SUMIFS(Distribusi!D:D, Distribusi!A:A, A41, Distribusi!B:B, B41, Distribusi!C:C, C41)</f>
        <v/>
      </c>
      <c r="E41" s="9" t="n">
        <v>8500000</v>
      </c>
      <c r="F41" s="9">
        <f>D41*E41</f>
        <v/>
      </c>
    </row>
    <row r="42" ht="20" customHeight="1">
      <c r="A42" s="2" t="inlineStr">
        <is>
          <t>APBN</t>
        </is>
      </c>
      <c r="B42" s="3" t="inlineStr">
        <is>
          <t>Tenda Pengungsi</t>
        </is>
      </c>
      <c r="C42" s="2" t="inlineStr">
        <is>
          <t>Papan</t>
        </is>
      </c>
      <c r="D42" s="4">
        <f>'Stok Awal'!E42 + SUMIFS(Penerimaan!D:D, Penerimaan!A:A, A42, Penerimaan!B:B, B42, Penerimaan!C:C, C42) - SUMIFS(Distribusi!D:D, Distribusi!A:A, A42, Distribusi!B:B, B42, Distribusi!C:C, C42)</f>
        <v/>
      </c>
      <c r="E42" s="4" t="n">
        <v>8500000</v>
      </c>
      <c r="F42" s="4">
        <f>D42*E42</f>
        <v/>
      </c>
    </row>
    <row r="43" ht="20" customHeight="1">
      <c r="A43" s="7" t="inlineStr">
        <is>
          <t>CSR</t>
        </is>
      </c>
      <c r="B43" s="8" t="inlineStr">
        <is>
          <t>Tenda Pengungsi</t>
        </is>
      </c>
      <c r="C43" s="7" t="inlineStr">
        <is>
          <t>Papan</t>
        </is>
      </c>
      <c r="D43" s="9">
        <f>'Stok Awal'!E43 + SUMIFS(Penerimaan!D:D, Penerimaan!A:A, A43, Penerimaan!B:B, B43, Penerimaan!C:C, C43) - SUMIFS(Distribusi!D:D, Distribusi!A:A, A43, Distribusi!B:B, B43, Distribusi!C:C, C43)</f>
        <v/>
      </c>
      <c r="E43" s="9" t="n">
        <v>8500000</v>
      </c>
      <c r="F43" s="9">
        <f>D43*E43</f>
        <v/>
      </c>
    </row>
    <row r="44" ht="20" customHeight="1">
      <c r="A44" s="2" t="inlineStr">
        <is>
          <t>APBD</t>
        </is>
      </c>
      <c r="B44" s="3" t="inlineStr">
        <is>
          <t>Terpal</t>
        </is>
      </c>
      <c r="C44" s="2" t="inlineStr">
        <is>
          <t>Papan</t>
        </is>
      </c>
      <c r="D44" s="4">
        <f>'Stok Awal'!E44 + SUMIFS(Penerimaan!D:D, Penerimaan!A:A, A44, Penerimaan!B:B, B44, Penerimaan!C:C, C44) - SUMIFS(Distribusi!D:D, Distribusi!A:A, A44, Distribusi!B:B, B44, Distribusi!C:C, C44)</f>
        <v/>
      </c>
      <c r="E44" s="4" t="n">
        <v>150000</v>
      </c>
      <c r="F44" s="4">
        <f>D44*E44</f>
        <v/>
      </c>
    </row>
    <row r="45" ht="20" customHeight="1">
      <c r="A45" s="7" t="inlineStr">
        <is>
          <t>APBN</t>
        </is>
      </c>
      <c r="B45" s="8" t="inlineStr">
        <is>
          <t>Terpal</t>
        </is>
      </c>
      <c r="C45" s="7" t="inlineStr">
        <is>
          <t>Papan</t>
        </is>
      </c>
      <c r="D45" s="9">
        <f>'Stok Awal'!E45 + SUMIFS(Penerimaan!D:D, Penerimaan!A:A, A45, Penerimaan!B:B, B45, Penerimaan!C:C, C45) - SUMIFS(Distribusi!D:D, Distribusi!A:A, A45, Distribusi!B:B, B45, Distribusi!C:C, C45)</f>
        <v/>
      </c>
      <c r="E45" s="9" t="n">
        <v>150000</v>
      </c>
      <c r="F45" s="9">
        <f>D45*E45</f>
        <v/>
      </c>
    </row>
    <row r="46" ht="20" customHeight="1">
      <c r="A46" s="2" t="inlineStr">
        <is>
          <t>CSR</t>
        </is>
      </c>
      <c r="B46" s="3" t="inlineStr">
        <is>
          <t>Terpal</t>
        </is>
      </c>
      <c r="C46" s="2" t="inlineStr">
        <is>
          <t>Papan</t>
        </is>
      </c>
      <c r="D46" s="4">
        <f>'Stok Awal'!E46 + SUMIFS(Penerimaan!D:D, Penerimaan!A:A, A46, Penerimaan!B:B, B46, Penerimaan!C:C, C46) - SUMIFS(Distribusi!D:D, Distribusi!A:A, A46, Distribusi!B:B, B46, Distribusi!C:C, C46)</f>
        <v/>
      </c>
      <c r="E46" s="4" t="n">
        <v>150000</v>
      </c>
      <c r="F46" s="4">
        <f>D46*E46</f>
        <v/>
      </c>
    </row>
    <row r="47" ht="20" customHeight="1">
      <c r="A47" s="7" t="inlineStr">
        <is>
          <t>APBD</t>
        </is>
      </c>
      <c r="B47" s="8" t="inlineStr">
        <is>
          <t>Matras</t>
        </is>
      </c>
      <c r="C47" s="7" t="inlineStr">
        <is>
          <t>Sandang</t>
        </is>
      </c>
      <c r="D47" s="9">
        <f>'Stok Awal'!E47 + SUMIFS(Penerimaan!D:D, Penerimaan!A:A, A47, Penerimaan!B:B, B47, Penerimaan!C:C, C47) - SUMIFS(Distribusi!D:D, Distribusi!A:A, A47, Distribusi!B:B, B47, Distribusi!C:C, C47)</f>
        <v/>
      </c>
      <c r="E47" s="9" t="n">
        <v>120000</v>
      </c>
      <c r="F47" s="9">
        <f>D47*E47</f>
        <v/>
      </c>
    </row>
    <row r="48" ht="20" customHeight="1">
      <c r="A48" s="2" t="inlineStr">
        <is>
          <t>APBN</t>
        </is>
      </c>
      <c r="B48" s="3" t="inlineStr">
        <is>
          <t>Matras</t>
        </is>
      </c>
      <c r="C48" s="2" t="inlineStr">
        <is>
          <t>Sandang</t>
        </is>
      </c>
      <c r="D48" s="4">
        <f>'Stok Awal'!E48 + SUMIFS(Penerimaan!D:D, Penerimaan!A:A, A48, Penerimaan!B:B, B48, Penerimaan!C:C, C48) - SUMIFS(Distribusi!D:D, Distribusi!A:A, A48, Distribusi!B:B, B48, Distribusi!C:C, C48)</f>
        <v/>
      </c>
      <c r="E48" s="4" t="n">
        <v>120000</v>
      </c>
      <c r="F48" s="4">
        <f>D48*E48</f>
        <v/>
      </c>
    </row>
    <row r="49" ht="20" customHeight="1">
      <c r="A49" s="7" t="inlineStr">
        <is>
          <t>CSR</t>
        </is>
      </c>
      <c r="B49" s="8" t="inlineStr">
        <is>
          <t>Matras</t>
        </is>
      </c>
      <c r="C49" s="7" t="inlineStr">
        <is>
          <t>Sandang</t>
        </is>
      </c>
      <c r="D49" s="9">
        <f>'Stok Awal'!E49 + SUMIFS(Penerimaan!D:D, Penerimaan!A:A, A49, Penerimaan!B:B, B49, Penerimaan!C:C, C49) - SUMIFS(Distribusi!D:D, Distribusi!A:A, A49, Distribusi!B:B, B49, Distribusi!C:C, C49)</f>
        <v/>
      </c>
      <c r="E49" s="9" t="n">
        <v>120000</v>
      </c>
      <c r="F49" s="9">
        <f>D49*E49</f>
        <v/>
      </c>
    </row>
    <row r="50" ht="20" customHeight="1">
      <c r="A50" s="2" t="inlineStr">
        <is>
          <t>APBD</t>
        </is>
      </c>
      <c r="B50" s="3" t="inlineStr">
        <is>
          <t>Pakaian Anak</t>
        </is>
      </c>
      <c r="C50" s="2" t="inlineStr">
        <is>
          <t>Sandang</t>
        </is>
      </c>
      <c r="D50" s="4">
        <f>'Stok Awal'!E50 + SUMIFS(Penerimaan!D:D, Penerimaan!A:A, A50, Penerimaan!B:B, B50, Penerimaan!C:C, C50) - SUMIFS(Distribusi!D:D, Distribusi!A:A, A50, Distribusi!B:B, B50, Distribusi!C:C, C50)</f>
        <v/>
      </c>
      <c r="E50" s="4" t="n">
        <v>75000</v>
      </c>
      <c r="F50" s="4">
        <f>D50*E50</f>
        <v/>
      </c>
    </row>
    <row r="51" ht="20" customHeight="1">
      <c r="A51" s="7" t="inlineStr">
        <is>
          <t>APBN</t>
        </is>
      </c>
      <c r="B51" s="8" t="inlineStr">
        <is>
          <t>Pakaian Anak</t>
        </is>
      </c>
      <c r="C51" s="7" t="inlineStr">
        <is>
          <t>Sandang</t>
        </is>
      </c>
      <c r="D51" s="9">
        <f>'Stok Awal'!E51 + SUMIFS(Penerimaan!D:D, Penerimaan!A:A, A51, Penerimaan!B:B, B51, Penerimaan!C:C, C51) - SUMIFS(Distribusi!D:D, Distribusi!A:A, A51, Distribusi!B:B, B51, Distribusi!C:C, C51)</f>
        <v/>
      </c>
      <c r="E51" s="9" t="n">
        <v>75000</v>
      </c>
      <c r="F51" s="9">
        <f>D51*E51</f>
        <v/>
      </c>
    </row>
    <row r="52" ht="20" customHeight="1">
      <c r="A52" s="2" t="inlineStr">
        <is>
          <t>CSR</t>
        </is>
      </c>
      <c r="B52" s="3" t="inlineStr">
        <is>
          <t>Pakaian Anak</t>
        </is>
      </c>
      <c r="C52" s="2" t="inlineStr">
        <is>
          <t>Sandang</t>
        </is>
      </c>
      <c r="D52" s="4">
        <f>'Stok Awal'!E52 + SUMIFS(Penerimaan!D:D, Penerimaan!A:A, A52, Penerimaan!B:B, B52, Penerimaan!C:C, C52) - SUMIFS(Distribusi!D:D, Distribusi!A:A, A52, Distribusi!B:B, B52, Distribusi!C:C, C52)</f>
        <v/>
      </c>
      <c r="E52" s="4" t="n">
        <v>75000</v>
      </c>
      <c r="F52" s="4">
        <f>D52*E52</f>
        <v/>
      </c>
    </row>
    <row r="53" ht="20" customHeight="1">
      <c r="A53" s="7" t="inlineStr">
        <is>
          <t>APBD</t>
        </is>
      </c>
      <c r="B53" s="8" t="inlineStr">
        <is>
          <t>Pakaian Dewasa</t>
        </is>
      </c>
      <c r="C53" s="7" t="inlineStr">
        <is>
          <t>Sandang</t>
        </is>
      </c>
      <c r="D53" s="9">
        <f>'Stok Awal'!E53 + SUMIFS(Penerimaan!D:D, Penerimaan!A:A, A53, Penerimaan!B:B, B53, Penerimaan!C:C, C53) - SUMIFS(Distribusi!D:D, Distribusi!A:A, A53, Distribusi!B:B, B53, Distribusi!C:C, C53)</f>
        <v/>
      </c>
      <c r="E53" s="9" t="n">
        <v>95000</v>
      </c>
      <c r="F53" s="9">
        <f>D53*E53</f>
        <v/>
      </c>
    </row>
    <row r="54" ht="20" customHeight="1">
      <c r="A54" s="2" t="inlineStr">
        <is>
          <t>APBN</t>
        </is>
      </c>
      <c r="B54" s="3" t="inlineStr">
        <is>
          <t>Pakaian Dewasa</t>
        </is>
      </c>
      <c r="C54" s="2" t="inlineStr">
        <is>
          <t>Sandang</t>
        </is>
      </c>
      <c r="D54" s="4">
        <f>'Stok Awal'!E54 + SUMIFS(Penerimaan!D:D, Penerimaan!A:A, A54, Penerimaan!B:B, B54, Penerimaan!C:C, C54) - SUMIFS(Distribusi!D:D, Distribusi!A:A, A54, Distribusi!B:B, B54, Distribusi!C:C, C54)</f>
        <v/>
      </c>
      <c r="E54" s="4" t="n">
        <v>95000</v>
      </c>
      <c r="F54" s="4">
        <f>D54*E54</f>
        <v/>
      </c>
    </row>
    <row r="55" ht="20" customHeight="1">
      <c r="A55" s="7" t="inlineStr">
        <is>
          <t>CSR</t>
        </is>
      </c>
      <c r="B55" s="8" t="inlineStr">
        <is>
          <t>Pakaian Dewasa</t>
        </is>
      </c>
      <c r="C55" s="7" t="inlineStr">
        <is>
          <t>Sandang</t>
        </is>
      </c>
      <c r="D55" s="9">
        <f>'Stok Awal'!E55 + SUMIFS(Penerimaan!D:D, Penerimaan!A:A, A55, Penerimaan!B:B, B55, Penerimaan!C:C, C55) - SUMIFS(Distribusi!D:D, Distribusi!A:A, A55, Distribusi!B:B, B55, Distribusi!C:C, C55)</f>
        <v/>
      </c>
      <c r="E55" s="9" t="n">
        <v>95000</v>
      </c>
      <c r="F55" s="9">
        <f>D55*E55</f>
        <v/>
      </c>
    </row>
    <row r="56" ht="20" customHeight="1">
      <c r="A56" s="2" t="inlineStr">
        <is>
          <t>APBD</t>
        </is>
      </c>
      <c r="B56" s="3" t="inlineStr">
        <is>
          <t>Sarung</t>
        </is>
      </c>
      <c r="C56" s="2" t="inlineStr">
        <is>
          <t>Sandang</t>
        </is>
      </c>
      <c r="D56" s="4">
        <f>'Stok Awal'!E56 + SUMIFS(Penerimaan!D:D, Penerimaan!A:A, A56, Penerimaan!B:B, B56, Penerimaan!C:C, C56) - SUMIFS(Distribusi!D:D, Distribusi!A:A, A56, Distribusi!B:B, B56, Distribusi!C:C, C56)</f>
        <v/>
      </c>
      <c r="E56" s="4" t="n">
        <v>60000</v>
      </c>
      <c r="F56" s="4">
        <f>D56*E56</f>
        <v/>
      </c>
    </row>
    <row r="57" ht="20" customHeight="1">
      <c r="A57" s="7" t="inlineStr">
        <is>
          <t>APBN</t>
        </is>
      </c>
      <c r="B57" s="8" t="inlineStr">
        <is>
          <t>Sarung</t>
        </is>
      </c>
      <c r="C57" s="7" t="inlineStr">
        <is>
          <t>Sandang</t>
        </is>
      </c>
      <c r="D57" s="9">
        <f>'Stok Awal'!E57 + SUMIFS(Penerimaan!D:D, Penerimaan!A:A, A57, Penerimaan!B:B, B57, Penerimaan!C:C, C57) - SUMIFS(Distribusi!D:D, Distribusi!A:A, A57, Distribusi!B:B, B57, Distribusi!C:C, C57)</f>
        <v/>
      </c>
      <c r="E57" s="9" t="n">
        <v>60000</v>
      </c>
      <c r="F57" s="9">
        <f>D57*E57</f>
        <v/>
      </c>
    </row>
    <row r="58" ht="20" customHeight="1">
      <c r="A58" s="2" t="inlineStr">
        <is>
          <t>CSR</t>
        </is>
      </c>
      <c r="B58" s="3" t="inlineStr">
        <is>
          <t>Sarung</t>
        </is>
      </c>
      <c r="C58" s="2" t="inlineStr">
        <is>
          <t>Sandang</t>
        </is>
      </c>
      <c r="D58" s="4">
        <f>'Stok Awal'!E58 + SUMIFS(Penerimaan!D:D, Penerimaan!A:A, A58, Penerimaan!B:B, B58, Penerimaan!C:C, C58) - SUMIFS(Distribusi!D:D, Distribusi!A:A, A58, Distribusi!B:B, B58, Distribusi!C:C, C58)</f>
        <v/>
      </c>
      <c r="E58" s="4" t="n">
        <v>60000</v>
      </c>
      <c r="F58" s="4">
        <f>D58*E58</f>
        <v/>
      </c>
    </row>
    <row r="59" ht="20" customHeight="1">
      <c r="A59" s="7" t="inlineStr">
        <is>
          <t>APBD</t>
        </is>
      </c>
      <c r="B59" s="8" t="inlineStr">
        <is>
          <t>Selimut</t>
        </is>
      </c>
      <c r="C59" s="7" t="inlineStr">
        <is>
          <t>Sandang</t>
        </is>
      </c>
      <c r="D59" s="9">
        <f>'Stok Awal'!E59 + SUMIFS(Penerimaan!D:D, Penerimaan!A:A, A59, Penerimaan!B:B, B59, Penerimaan!C:C, C59) - SUMIFS(Distribusi!D:D, Distribusi!A:A, A59, Distribusi!B:B, B59, Distribusi!C:C, C59)</f>
        <v/>
      </c>
      <c r="E59" s="9" t="n">
        <v>85000</v>
      </c>
      <c r="F59" s="9">
        <f>D59*E59</f>
        <v/>
      </c>
    </row>
    <row r="60" ht="20" customHeight="1">
      <c r="A60" s="2" t="inlineStr">
        <is>
          <t>APBN</t>
        </is>
      </c>
      <c r="B60" s="3" t="inlineStr">
        <is>
          <t>Selimut</t>
        </is>
      </c>
      <c r="C60" s="2" t="inlineStr">
        <is>
          <t>Sandang</t>
        </is>
      </c>
      <c r="D60" s="4">
        <f>'Stok Awal'!E60 + SUMIFS(Penerimaan!D:D, Penerimaan!A:A, A60, Penerimaan!B:B, B60, Penerimaan!C:C, C60) - SUMIFS(Distribusi!D:D, Distribusi!A:A, A60, Distribusi!B:B, B60, Distribusi!C:C, C60)</f>
        <v/>
      </c>
      <c r="E60" s="4" t="n">
        <v>85000</v>
      </c>
      <c r="F60" s="4">
        <f>D60*E60</f>
        <v/>
      </c>
    </row>
    <row r="61" ht="20" customHeight="1">
      <c r="A61" s="7" t="inlineStr">
        <is>
          <t>CSR</t>
        </is>
      </c>
      <c r="B61" s="8" t="inlineStr">
        <is>
          <t>Selimut</t>
        </is>
      </c>
      <c r="C61" s="7" t="inlineStr">
        <is>
          <t>Sandang</t>
        </is>
      </c>
      <c r="D61" s="9">
        <f>'Stok Awal'!E61 + SUMIFS(Penerimaan!D:D, Penerimaan!A:A, A61, Penerimaan!B:B, B61, Penerimaan!C:C, C61) - SUMIFS(Distribusi!D:D, Distribusi!A:A, A61, Distribusi!B:B, B61, Distribusi!C:C, C61)</f>
        <v/>
      </c>
      <c r="E61" s="9" t="n">
        <v>85000</v>
      </c>
      <c r="F61" s="9">
        <f>D61*E61</f>
        <v/>
      </c>
    </row>
    <row r="62">
      <c r="A62" s="12" t="inlineStr">
        <is>
          <t>TOTAL KESELURUHAN STOK</t>
        </is>
      </c>
      <c r="B62" s="13" t="n"/>
      <c r="C62" s="13" t="n"/>
      <c r="D62" s="14">
        <f>SUM(D2:D61)</f>
        <v/>
      </c>
      <c r="E62" s="13" t="n"/>
      <c r="F62" s="14">
        <f>SUM(F2:F61)</f>
        <v/>
      </c>
    </row>
  </sheetData>
  <dataValidations count="2">
    <dataValidation sqref="A2:A251 B2:B61" showDropDown="0" showInputMessage="0" showErrorMessage="0" allowBlank="1" type="list">
      <formula1>'_RefData'!$A$2:$A$4</formula1>
    </dataValidation>
    <dataValidation sqref="C2:C251 D2:D61 E2:E89" showDropDown="0" showInputMessage="0" showErrorMessage="0" allowBlank="1" type="list">
      <formula1>'_RefData'!$B$2:$B$5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  <col width="23" customWidth="1" min="5" max="5"/>
    <col width="22" customWidth="1" min="6" max="6"/>
    <col width="14" customWidth="1" min="7" max="7"/>
    <col width="21" customWidth="1" min="8" max="8"/>
  </cols>
  <sheetData>
    <row r="1" ht="26" customHeight="1">
      <c r="A1" s="1" t="inlineStr">
        <is>
          <t>Sumber Pendanaan</t>
        </is>
      </c>
      <c r="B1" s="1" t="inlineStr">
        <is>
          <t>Barang</t>
        </is>
      </c>
      <c r="C1" s="1" t="inlineStr">
        <is>
          <t>Kategori Barang</t>
        </is>
      </c>
      <c r="D1" s="1" t="inlineStr">
        <is>
          <t>Nomor Dokumen</t>
        </is>
      </c>
      <c r="E1" s="1" t="inlineStr">
        <is>
          <t>Tanggal Kadaluwarsa</t>
        </is>
      </c>
      <c r="F1" s="1" t="inlineStr">
        <is>
          <t>Status Kadaluwarsa</t>
        </is>
      </c>
      <c r="G1" s="1" t="inlineStr">
        <is>
          <t>Sisa Hari</t>
        </is>
      </c>
      <c r="H1" s="1" t="inlineStr">
        <is>
          <t>Harga Satuan (Rp)</t>
        </is>
      </c>
    </row>
    <row r="2" ht="20" customHeight="1">
      <c r="A2" s="2" t="inlineStr">
        <is>
          <t>APBN</t>
        </is>
      </c>
      <c r="B2" s="3" t="inlineStr">
        <is>
          <t>Biskuit</t>
        </is>
      </c>
      <c r="C2" s="2" t="inlineStr">
        <is>
          <t>Pangan</t>
        </is>
      </c>
      <c r="D2" s="2" t="inlineStr">
        <is>
          <t>BAST-2025-IN-0039</t>
        </is>
      </c>
      <c r="E2" s="5" t="n">
        <v>46162</v>
      </c>
      <c r="F2" s="2" t="n">
        <v>-158</v>
      </c>
      <c r="G2" s="4" t="n"/>
      <c r="H2" s="4" t="n">
        <v>25000</v>
      </c>
    </row>
    <row r="3" ht="20" customHeight="1">
      <c r="A3" s="7" t="inlineStr">
        <is>
          <t>APBN</t>
        </is>
      </c>
      <c r="B3" s="8" t="inlineStr">
        <is>
          <t>Susu Formula</t>
        </is>
      </c>
      <c r="C3" s="7" t="inlineStr">
        <is>
          <t>Pangan</t>
        </is>
      </c>
      <c r="D3" s="7" t="inlineStr">
        <is>
          <t>BAST-2025-IN-0078</t>
        </is>
      </c>
      <c r="E3" s="10" t="n">
        <v>46176</v>
      </c>
      <c r="F3" s="7" t="n">
        <v>-144</v>
      </c>
      <c r="G3" s="9" t="n"/>
      <c r="H3" s="9" t="n">
        <v>65000</v>
      </c>
    </row>
    <row r="4" ht="20" customHeight="1">
      <c r="A4" s="2" t="inlineStr">
        <is>
          <t>APBD</t>
        </is>
      </c>
      <c r="B4" s="3" t="inlineStr">
        <is>
          <t>Susu Formula</t>
        </is>
      </c>
      <c r="C4" s="2" t="inlineStr">
        <is>
          <t>Pangan</t>
        </is>
      </c>
      <c r="D4" s="2" t="inlineStr">
        <is>
          <t>BAST-2025-IN-0029</t>
        </is>
      </c>
      <c r="E4" s="5" t="n">
        <v>46177</v>
      </c>
      <c r="F4" s="2" t="n">
        <v>-143</v>
      </c>
      <c r="G4" s="4" t="n"/>
      <c r="H4" s="4" t="n">
        <v>65000</v>
      </c>
    </row>
    <row r="5" ht="20" customHeight="1">
      <c r="A5" s="7" t="inlineStr">
        <is>
          <t>APBN</t>
        </is>
      </c>
      <c r="B5" s="8" t="inlineStr">
        <is>
          <t>Susu Formula</t>
        </is>
      </c>
      <c r="C5" s="7" t="inlineStr">
        <is>
          <t>Pangan</t>
        </is>
      </c>
      <c r="D5" s="7" t="inlineStr">
        <is>
          <t>BAST-2025-IN-0033</t>
        </is>
      </c>
      <c r="E5" s="10" t="n">
        <v>46188</v>
      </c>
      <c r="F5" s="7" t="n">
        <v>-132</v>
      </c>
      <c r="G5" s="9" t="n"/>
      <c r="H5" s="9" t="n">
        <v>65000</v>
      </c>
    </row>
    <row r="6" ht="20" customHeight="1">
      <c r="A6" s="2" t="inlineStr">
        <is>
          <t>APBD</t>
        </is>
      </c>
      <c r="B6" s="3" t="inlineStr">
        <is>
          <t>Susu Formula</t>
        </is>
      </c>
      <c r="C6" s="2" t="inlineStr">
        <is>
          <t>Pangan</t>
        </is>
      </c>
      <c r="D6" s="2" t="inlineStr">
        <is>
          <t>BAST-2025-IN-0100</t>
        </is>
      </c>
      <c r="E6" s="5" t="n">
        <v>46225</v>
      </c>
      <c r="F6" s="2" t="n">
        <v>-95</v>
      </c>
      <c r="G6" s="4" t="n"/>
      <c r="H6" s="4" t="n">
        <v>65000</v>
      </c>
    </row>
    <row r="7" ht="20" customHeight="1">
      <c r="A7" s="7" t="inlineStr">
        <is>
          <t>CSR</t>
        </is>
      </c>
      <c r="B7" s="8" t="inlineStr">
        <is>
          <t>Susu Formula</t>
        </is>
      </c>
      <c r="C7" s="7" t="inlineStr">
        <is>
          <t>Pangan</t>
        </is>
      </c>
      <c r="D7" s="7" t="inlineStr">
        <is>
          <t>BAST-2026-IN-0070</t>
        </is>
      </c>
      <c r="E7" s="10" t="n">
        <v>46237</v>
      </c>
      <c r="F7" s="7" t="n">
        <v>-83</v>
      </c>
      <c r="G7" s="9" t="n"/>
      <c r="H7" s="9" t="n">
        <v>65000</v>
      </c>
    </row>
    <row r="8" ht="20" customHeight="1">
      <c r="A8" s="2" t="inlineStr">
        <is>
          <t>APBN</t>
        </is>
      </c>
      <c r="B8" s="3" t="inlineStr">
        <is>
          <t>Makanan Siap Saji</t>
        </is>
      </c>
      <c r="C8" s="2" t="inlineStr">
        <is>
          <t>Pangan</t>
        </is>
      </c>
      <c r="D8" s="2" t="inlineStr">
        <is>
          <t>BAST-2025-IN-0021</t>
        </is>
      </c>
      <c r="E8" s="5" t="n">
        <v>46267</v>
      </c>
      <c r="F8" s="2" t="n">
        <v>-53</v>
      </c>
      <c r="G8" s="4" t="n"/>
      <c r="H8" s="4" t="n">
        <v>45000</v>
      </c>
    </row>
    <row r="9" ht="20" customHeight="1">
      <c r="A9" s="7" t="inlineStr">
        <is>
          <t>APBD</t>
        </is>
      </c>
      <c r="B9" s="8" t="inlineStr">
        <is>
          <t>Susu Formula</t>
        </is>
      </c>
      <c r="C9" s="7" t="inlineStr">
        <is>
          <t>Pangan</t>
        </is>
      </c>
      <c r="D9" s="7" t="inlineStr">
        <is>
          <t>BAST-2026-IN-0028</t>
        </is>
      </c>
      <c r="E9" s="10" t="n">
        <v>46270</v>
      </c>
      <c r="F9" s="7" t="n">
        <v>-50</v>
      </c>
      <c r="G9" s="9" t="n"/>
      <c r="H9" s="9" t="n">
        <v>65000</v>
      </c>
    </row>
    <row r="10" ht="20" customHeight="1">
      <c r="A10" s="2" t="inlineStr">
        <is>
          <t>APBN</t>
        </is>
      </c>
      <c r="B10" s="3" t="inlineStr">
        <is>
          <t>Makanan Siap Saji</t>
        </is>
      </c>
      <c r="C10" s="2" t="inlineStr">
        <is>
          <t>Pangan</t>
        </is>
      </c>
      <c r="D10" s="2" t="inlineStr">
        <is>
          <t>BAST-2025-IN-0057</t>
        </is>
      </c>
      <c r="E10" s="5" t="n">
        <v>46274</v>
      </c>
      <c r="F10" s="2" t="n">
        <v>-46</v>
      </c>
      <c r="G10" s="4" t="n"/>
      <c r="H10" s="4" t="n">
        <v>45000</v>
      </c>
    </row>
    <row r="11" ht="20" customHeight="1">
      <c r="A11" s="7" t="inlineStr">
        <is>
          <t>APBN</t>
        </is>
      </c>
      <c r="B11" s="8" t="inlineStr">
        <is>
          <t>Susu Formula</t>
        </is>
      </c>
      <c r="C11" s="7" t="inlineStr">
        <is>
          <t>Pangan</t>
        </is>
      </c>
      <c r="D11" s="7" t="inlineStr">
        <is>
          <t>BAST-2025-IN-0114</t>
        </is>
      </c>
      <c r="E11" s="10" t="n">
        <v>46306</v>
      </c>
      <c r="F11" s="7" t="n">
        <v>-14</v>
      </c>
      <c r="G11" s="9" t="n"/>
      <c r="H11" s="9" t="n">
        <v>65000</v>
      </c>
    </row>
    <row r="12" ht="20" customHeight="1">
      <c r="A12" s="2" t="inlineStr">
        <is>
          <t>APBD</t>
        </is>
      </c>
      <c r="B12" s="3" t="inlineStr">
        <is>
          <t>Air Mineral</t>
        </is>
      </c>
      <c r="C12" s="2" t="inlineStr">
        <is>
          <t>Pangan</t>
        </is>
      </c>
      <c r="D12" s="2" t="inlineStr">
        <is>
          <t>BAST-2025-IN-0092</t>
        </is>
      </c>
      <c r="E12" s="5" t="n">
        <v>46312</v>
      </c>
      <c r="F12" s="2" t="n">
        <v>-8</v>
      </c>
      <c r="G12" s="4" t="n"/>
      <c r="H12" s="4" t="n">
        <v>30000</v>
      </c>
    </row>
    <row r="13" ht="20" customHeight="1">
      <c r="A13" s="7" t="inlineStr">
        <is>
          <t>APBN</t>
        </is>
      </c>
      <c r="B13" s="8" t="inlineStr">
        <is>
          <t>Susu Formula</t>
        </is>
      </c>
      <c r="C13" s="7" t="inlineStr">
        <is>
          <t>Pangan</t>
        </is>
      </c>
      <c r="D13" s="7" t="inlineStr">
        <is>
          <t>BAST-2026-IN-0045</t>
        </is>
      </c>
      <c r="E13" s="10" t="n">
        <v>46313</v>
      </c>
      <c r="F13" s="7" t="n">
        <v>-7</v>
      </c>
      <c r="G13" s="9" t="n"/>
      <c r="H13" s="9" t="n">
        <v>65000</v>
      </c>
    </row>
    <row r="14" ht="20" customHeight="1">
      <c r="A14" s="2" t="inlineStr">
        <is>
          <t>APBN</t>
        </is>
      </c>
      <c r="B14" s="3" t="inlineStr">
        <is>
          <t>Beras</t>
        </is>
      </c>
      <c r="C14" s="2" t="inlineStr">
        <is>
          <t>Pangan</t>
        </is>
      </c>
      <c r="D14" s="2" t="inlineStr">
        <is>
          <t>BAST-2025-IN-0025</t>
        </is>
      </c>
      <c r="E14" s="5" t="n">
        <v>46314</v>
      </c>
      <c r="F14" s="2" t="n">
        <v>-6</v>
      </c>
      <c r="G14" s="4" t="n"/>
      <c r="H14" s="4" t="n">
        <v>15000</v>
      </c>
    </row>
    <row r="15" ht="20" customHeight="1">
      <c r="A15" s="7" t="inlineStr">
        <is>
          <t>APBD</t>
        </is>
      </c>
      <c r="B15" s="8" t="inlineStr">
        <is>
          <t>Beras</t>
        </is>
      </c>
      <c r="C15" s="7" t="inlineStr">
        <is>
          <t>Pangan</t>
        </is>
      </c>
      <c r="D15" s="7" t="inlineStr">
        <is>
          <t>BAST-2025-IN-0101</t>
        </is>
      </c>
      <c r="E15" s="10" t="n">
        <v>46319</v>
      </c>
      <c r="F15" s="7" t="n">
        <v>-1</v>
      </c>
      <c r="G15" s="9" t="n"/>
      <c r="H15" s="9" t="n">
        <v>15000</v>
      </c>
    </row>
    <row r="16" ht="20" customHeight="1">
      <c r="A16" s="2" t="inlineStr">
        <is>
          <t>APBD</t>
        </is>
      </c>
      <c r="B16" s="3" t="inlineStr">
        <is>
          <t>Air Mineral</t>
        </is>
      </c>
      <c r="C16" s="2" t="inlineStr">
        <is>
          <t>Pangan</t>
        </is>
      </c>
      <c r="D16" s="2" t="inlineStr">
        <is>
          <t>BAST-2026-IN-0054</t>
        </is>
      </c>
      <c r="E16" s="5" t="n">
        <v>46321</v>
      </c>
      <c r="F16" s="2" t="n">
        <v>1</v>
      </c>
      <c r="G16" s="4" t="n"/>
      <c r="H16" s="4" t="n">
        <v>30000</v>
      </c>
    </row>
    <row r="17" ht="20" customHeight="1">
      <c r="A17" s="7" t="inlineStr">
        <is>
          <t>CSR</t>
        </is>
      </c>
      <c r="B17" s="8" t="inlineStr">
        <is>
          <t>Susu Formula</t>
        </is>
      </c>
      <c r="C17" s="7" t="inlineStr">
        <is>
          <t>Pangan</t>
        </is>
      </c>
      <c r="D17" s="7" t="inlineStr">
        <is>
          <t>BAST-2025-IN-0086</t>
        </is>
      </c>
      <c r="E17" s="10" t="n">
        <v>46343</v>
      </c>
      <c r="F17" s="7" t="n">
        <v>23</v>
      </c>
      <c r="G17" s="9" t="n"/>
      <c r="H17" s="9" t="n">
        <v>65000</v>
      </c>
    </row>
    <row r="18" ht="20" customHeight="1">
      <c r="A18" s="2" t="inlineStr">
        <is>
          <t>CSR</t>
        </is>
      </c>
      <c r="B18" s="3" t="inlineStr">
        <is>
          <t>Makanan Siap Saji</t>
        </is>
      </c>
      <c r="C18" s="2" t="inlineStr">
        <is>
          <t>Pangan</t>
        </is>
      </c>
      <c r="D18" s="2" t="inlineStr">
        <is>
          <t>BAST-2025-IN-0068</t>
        </is>
      </c>
      <c r="E18" s="5" t="n">
        <v>46377</v>
      </c>
      <c r="F18" s="2" t="n">
        <v>57</v>
      </c>
      <c r="G18" s="4" t="n"/>
      <c r="H18" s="4" t="n">
        <v>45000</v>
      </c>
    </row>
    <row r="19" ht="20" customHeight="1">
      <c r="A19" s="7" t="inlineStr">
        <is>
          <t>APBN</t>
        </is>
      </c>
      <c r="B19" s="8" t="inlineStr">
        <is>
          <t>Beras</t>
        </is>
      </c>
      <c r="C19" s="7" t="inlineStr">
        <is>
          <t>Pangan</t>
        </is>
      </c>
      <c r="D19" s="7" t="inlineStr">
        <is>
          <t>BAST-2025-IN-0018</t>
        </is>
      </c>
      <c r="E19" s="10" t="n">
        <v>46384</v>
      </c>
      <c r="F19" s="7" t="n">
        <v>64</v>
      </c>
      <c r="G19" s="9" t="n"/>
      <c r="H19" s="9" t="n">
        <v>15000</v>
      </c>
    </row>
    <row r="20" ht="20" customHeight="1">
      <c r="A20" s="2" t="inlineStr">
        <is>
          <t>APBN</t>
        </is>
      </c>
      <c r="B20" s="3" t="inlineStr">
        <is>
          <t>Susu Formula</t>
        </is>
      </c>
      <c r="C20" s="2" t="inlineStr">
        <is>
          <t>Pangan</t>
        </is>
      </c>
      <c r="D20" s="2" t="inlineStr">
        <is>
          <t>BAST-2025-IN-0079</t>
        </is>
      </c>
      <c r="E20" s="5" t="n">
        <v>46398</v>
      </c>
      <c r="F20" s="2" t="n">
        <v>78</v>
      </c>
      <c r="G20" s="4" t="n"/>
      <c r="H20" s="4" t="n">
        <v>65000</v>
      </c>
    </row>
    <row r="21" ht="20" customHeight="1">
      <c r="A21" s="7" t="inlineStr">
        <is>
          <t>APBN</t>
        </is>
      </c>
      <c r="B21" s="8" t="inlineStr">
        <is>
          <t>Beras</t>
        </is>
      </c>
      <c r="C21" s="7" t="inlineStr">
        <is>
          <t>Pangan</t>
        </is>
      </c>
      <c r="D21" s="7" t="inlineStr">
        <is>
          <t>BAST-2025-IN-0019</t>
        </is>
      </c>
      <c r="E21" s="10" t="n">
        <v>46411</v>
      </c>
      <c r="F21" s="7" t="n">
        <v>91</v>
      </c>
      <c r="G21" s="9" t="n"/>
      <c r="H21" s="9" t="n">
        <v>15000</v>
      </c>
    </row>
    <row r="22" ht="20" customHeight="1">
      <c r="A22" s="2" t="inlineStr">
        <is>
          <t>APBD</t>
        </is>
      </c>
      <c r="B22" s="3" t="inlineStr">
        <is>
          <t>Biskuit</t>
        </is>
      </c>
      <c r="C22" s="2" t="inlineStr">
        <is>
          <t>Pangan</t>
        </is>
      </c>
      <c r="D22" s="2" t="inlineStr">
        <is>
          <t>BAST-2025-IN-0115</t>
        </is>
      </c>
      <c r="E22" s="5" t="n">
        <v>46428</v>
      </c>
      <c r="F22" s="2" t="n">
        <v>108</v>
      </c>
      <c r="G22" s="4" t="n"/>
      <c r="H22" s="4" t="n">
        <v>25000</v>
      </c>
    </row>
    <row r="23" ht="20" customHeight="1">
      <c r="A23" s="7" t="inlineStr">
        <is>
          <t>APBN</t>
        </is>
      </c>
      <c r="B23" s="8" t="inlineStr">
        <is>
          <t>Biskuit</t>
        </is>
      </c>
      <c r="C23" s="7" t="inlineStr">
        <is>
          <t>Pangan</t>
        </is>
      </c>
      <c r="D23" s="7" t="inlineStr">
        <is>
          <t>BAST-2025-IN-0091</t>
        </is>
      </c>
      <c r="E23" s="10" t="n">
        <v>46430</v>
      </c>
      <c r="F23" s="7" t="n">
        <v>110</v>
      </c>
      <c r="G23" s="9" t="n"/>
      <c r="H23" s="9" t="n">
        <v>25000</v>
      </c>
    </row>
    <row r="24" ht="20" customHeight="1">
      <c r="A24" s="2" t="inlineStr">
        <is>
          <t>APBD</t>
        </is>
      </c>
      <c r="B24" s="3" t="inlineStr">
        <is>
          <t>Air Mineral</t>
        </is>
      </c>
      <c r="C24" s="2" t="inlineStr">
        <is>
          <t>Pangan</t>
        </is>
      </c>
      <c r="D24" s="2" t="inlineStr">
        <is>
          <t>BAST-2025-IN-0030</t>
        </is>
      </c>
      <c r="E24" s="5" t="n">
        <v>46442</v>
      </c>
      <c r="F24" s="2" t="n">
        <v>122</v>
      </c>
      <c r="G24" s="4" t="n"/>
      <c r="H24" s="4" t="n">
        <v>30000</v>
      </c>
    </row>
    <row r="25" ht="20" customHeight="1">
      <c r="A25" s="7" t="inlineStr">
        <is>
          <t>CSR</t>
        </is>
      </c>
      <c r="B25" s="8" t="inlineStr">
        <is>
          <t>Sanitasi Kit</t>
        </is>
      </c>
      <c r="C25" s="7" t="inlineStr">
        <is>
          <t>Logistik Lainnya</t>
        </is>
      </c>
      <c r="D25" s="7" t="inlineStr">
        <is>
          <t>BAST-2025-IN-0027</t>
        </is>
      </c>
      <c r="E25" s="10" t="n">
        <v>46468</v>
      </c>
      <c r="F25" s="7" t="n">
        <v>148</v>
      </c>
      <c r="G25" s="9" t="n"/>
      <c r="H25" s="9" t="n">
        <v>250000</v>
      </c>
    </row>
    <row r="26" ht="20" customHeight="1">
      <c r="A26" s="2" t="inlineStr">
        <is>
          <t>APBD</t>
        </is>
      </c>
      <c r="B26" s="3" t="inlineStr">
        <is>
          <t>Makanan Siap Saji</t>
        </is>
      </c>
      <c r="C26" s="2" t="inlineStr">
        <is>
          <t>Pangan</t>
        </is>
      </c>
      <c r="D26" s="2" t="inlineStr">
        <is>
          <t>BAST-2025-IN-0117</t>
        </is>
      </c>
      <c r="E26" s="5" t="n">
        <v>46468</v>
      </c>
      <c r="F26" s="2" t="n">
        <v>148</v>
      </c>
      <c r="G26" s="4" t="n"/>
      <c r="H26" s="4" t="n">
        <v>45000</v>
      </c>
    </row>
    <row r="27" ht="20" customHeight="1">
      <c r="A27" s="7" t="inlineStr">
        <is>
          <t>CSR</t>
        </is>
      </c>
      <c r="B27" s="8" t="inlineStr">
        <is>
          <t>Makanan Siap Saji</t>
        </is>
      </c>
      <c r="C27" s="7" t="inlineStr">
        <is>
          <t>Pangan</t>
        </is>
      </c>
      <c r="D27" s="7" t="inlineStr">
        <is>
          <t>BAST-2025-IN-0067</t>
        </is>
      </c>
      <c r="E27" s="10" t="n">
        <v>46474</v>
      </c>
      <c r="F27" s="7" t="n">
        <v>154</v>
      </c>
      <c r="G27" s="9" t="n"/>
      <c r="H27" s="9" t="n">
        <v>45000</v>
      </c>
    </row>
    <row r="28" ht="20" customHeight="1">
      <c r="A28" s="2" t="inlineStr">
        <is>
          <t>APBN</t>
        </is>
      </c>
      <c r="B28" s="3" t="inlineStr">
        <is>
          <t>Sanitasi Kit</t>
        </is>
      </c>
      <c r="C28" s="2" t="inlineStr">
        <is>
          <t>Logistik Lainnya</t>
        </is>
      </c>
      <c r="D28" s="2" t="inlineStr">
        <is>
          <t>BAST-2025-IN-0074</t>
        </is>
      </c>
      <c r="E28" s="5" t="n">
        <v>46494</v>
      </c>
      <c r="F28" s="2" t="n">
        <v>174</v>
      </c>
      <c r="G28" s="4" t="n"/>
      <c r="H28" s="4" t="n">
        <v>250000</v>
      </c>
    </row>
    <row r="29" ht="20" customHeight="1">
      <c r="A29" s="7" t="inlineStr">
        <is>
          <t>APBN</t>
        </is>
      </c>
      <c r="B29" s="8" t="inlineStr">
        <is>
          <t>Makanan Siap Saji</t>
        </is>
      </c>
      <c r="C29" s="7" t="inlineStr">
        <is>
          <t>Pangan</t>
        </is>
      </c>
      <c r="D29" s="7" t="inlineStr">
        <is>
          <t>BAST-2025-IN-0093</t>
        </is>
      </c>
      <c r="E29" s="10" t="n">
        <v>46501</v>
      </c>
      <c r="F29" s="7" t="n">
        <v>181</v>
      </c>
      <c r="G29" s="9" t="n"/>
      <c r="H29" s="9" t="n">
        <v>45000</v>
      </c>
    </row>
    <row r="30" ht="20" customHeight="1">
      <c r="A30" s="2" t="inlineStr">
        <is>
          <t>APBD</t>
        </is>
      </c>
      <c r="B30" s="3" t="inlineStr">
        <is>
          <t>Beras</t>
        </is>
      </c>
      <c r="C30" s="2" t="inlineStr">
        <is>
          <t>Pangan</t>
        </is>
      </c>
      <c r="D30" s="2" t="inlineStr">
        <is>
          <t>BAST-2025-IN-0077</t>
        </is>
      </c>
      <c r="E30" s="5" t="n">
        <v>46515</v>
      </c>
      <c r="F30" s="2" t="n">
        <v>195</v>
      </c>
      <c r="G30" s="4" t="n"/>
      <c r="H30" s="4" t="n">
        <v>15000</v>
      </c>
    </row>
    <row r="31" ht="20" customHeight="1">
      <c r="A31" s="7" t="inlineStr">
        <is>
          <t>APBD</t>
        </is>
      </c>
      <c r="B31" s="8" t="inlineStr">
        <is>
          <t>Biskuit</t>
        </is>
      </c>
      <c r="C31" s="7" t="inlineStr">
        <is>
          <t>Pangan</t>
        </is>
      </c>
      <c r="D31" s="7" t="inlineStr">
        <is>
          <t>BAST-2026-IN-0013</t>
        </is>
      </c>
      <c r="E31" s="10" t="n">
        <v>46553</v>
      </c>
      <c r="F31" s="7" t="n">
        <v>233</v>
      </c>
      <c r="G31" s="9" t="n"/>
      <c r="H31" s="9" t="n">
        <v>25000</v>
      </c>
    </row>
    <row r="32" ht="20" customHeight="1">
      <c r="A32" s="2" t="inlineStr">
        <is>
          <t>APBD</t>
        </is>
      </c>
      <c r="B32" s="3" t="inlineStr">
        <is>
          <t>Susu Formula</t>
        </is>
      </c>
      <c r="C32" s="2" t="inlineStr">
        <is>
          <t>Pangan</t>
        </is>
      </c>
      <c r="D32" s="2" t="inlineStr">
        <is>
          <t>BAST-2026-IN-0010</t>
        </is>
      </c>
      <c r="E32" s="5" t="n">
        <v>46556</v>
      </c>
      <c r="F32" s="2" t="n">
        <v>236</v>
      </c>
      <c r="G32" s="4" t="n"/>
      <c r="H32" s="4" t="n">
        <v>65000</v>
      </c>
    </row>
    <row r="33" ht="20" customHeight="1">
      <c r="A33" s="7" t="inlineStr">
        <is>
          <t>APBD</t>
        </is>
      </c>
      <c r="B33" s="8" t="inlineStr">
        <is>
          <t>Air Mineral</t>
        </is>
      </c>
      <c r="C33" s="7" t="inlineStr">
        <is>
          <t>Pangan</t>
        </is>
      </c>
      <c r="D33" s="7" t="inlineStr">
        <is>
          <t>BAST-2025-IN-0012</t>
        </is>
      </c>
      <c r="E33" s="10" t="n">
        <v>46558</v>
      </c>
      <c r="F33" s="7" t="n">
        <v>238</v>
      </c>
      <c r="G33" s="9" t="n"/>
      <c r="H33" s="9" t="n">
        <v>30000</v>
      </c>
    </row>
    <row r="34" ht="20" customHeight="1">
      <c r="A34" s="2" t="inlineStr">
        <is>
          <t>CSR</t>
        </is>
      </c>
      <c r="B34" s="3" t="inlineStr">
        <is>
          <t>Lauk Pauk</t>
        </is>
      </c>
      <c r="C34" s="2" t="inlineStr">
        <is>
          <t>Pangan</t>
        </is>
      </c>
      <c r="D34" s="2" t="inlineStr">
        <is>
          <t>BAST-2026-IN-0030</t>
        </is>
      </c>
      <c r="E34" s="5" t="n">
        <v>46569</v>
      </c>
      <c r="F34" s="2" t="n">
        <v>249</v>
      </c>
      <c r="G34" s="4" t="n"/>
      <c r="H34" s="4" t="n">
        <v>35000</v>
      </c>
    </row>
    <row r="35" ht="20" customHeight="1">
      <c r="A35" s="7" t="inlineStr">
        <is>
          <t>APBN</t>
        </is>
      </c>
      <c r="B35" s="8" t="inlineStr">
        <is>
          <t>Lauk Pauk</t>
        </is>
      </c>
      <c r="C35" s="7" t="inlineStr">
        <is>
          <t>Pangan</t>
        </is>
      </c>
      <c r="D35" s="7" t="inlineStr">
        <is>
          <t>BAST-2025-IN-0116</t>
        </is>
      </c>
      <c r="E35" s="10" t="n">
        <v>46593</v>
      </c>
      <c r="F35" s="7" t="n">
        <v>273</v>
      </c>
      <c r="G35" s="9" t="n"/>
      <c r="H35" s="9" t="n">
        <v>35000</v>
      </c>
    </row>
    <row r="36" ht="20" customHeight="1">
      <c r="A36" s="2" t="inlineStr">
        <is>
          <t>APBD</t>
        </is>
      </c>
      <c r="B36" s="3" t="inlineStr">
        <is>
          <t>Biskuit</t>
        </is>
      </c>
      <c r="C36" s="2" t="inlineStr">
        <is>
          <t>Pangan</t>
        </is>
      </c>
      <c r="D36" s="2" t="inlineStr">
        <is>
          <t>BAST-2026-IN-0053</t>
        </is>
      </c>
      <c r="E36" s="5" t="n">
        <v>46593</v>
      </c>
      <c r="F36" s="2" t="n">
        <v>273</v>
      </c>
      <c r="G36" s="4" t="n"/>
      <c r="H36" s="4" t="n">
        <v>25000</v>
      </c>
    </row>
    <row r="37" ht="20" customHeight="1">
      <c r="A37" s="7" t="inlineStr">
        <is>
          <t>APBD</t>
        </is>
      </c>
      <c r="B37" s="8" t="inlineStr">
        <is>
          <t>Sanitasi Kit</t>
        </is>
      </c>
      <c r="C37" s="7" t="inlineStr">
        <is>
          <t>Logistik Lainnya</t>
        </is>
      </c>
      <c r="D37" s="7" t="inlineStr">
        <is>
          <t>BAST-2025-IN-0087</t>
        </is>
      </c>
      <c r="E37" s="10" t="n">
        <v>46594</v>
      </c>
      <c r="F37" s="7" t="n">
        <v>274</v>
      </c>
      <c r="G37" s="9" t="n"/>
      <c r="H37" s="9" t="n">
        <v>250000</v>
      </c>
    </row>
    <row r="38" ht="20" customHeight="1">
      <c r="A38" s="2" t="inlineStr">
        <is>
          <t>APBD</t>
        </is>
      </c>
      <c r="B38" s="3" t="inlineStr">
        <is>
          <t>Beras</t>
        </is>
      </c>
      <c r="C38" s="2" t="inlineStr">
        <is>
          <t>Pangan</t>
        </is>
      </c>
      <c r="D38" s="2" t="inlineStr">
        <is>
          <t>BAST-2026-IN-0033</t>
        </is>
      </c>
      <c r="E38" s="5" t="n">
        <v>46645</v>
      </c>
      <c r="F38" s="2" t="n">
        <v>325</v>
      </c>
      <c r="G38" s="4" t="n"/>
      <c r="H38" s="4" t="n">
        <v>15000</v>
      </c>
    </row>
    <row r="39" ht="20" customHeight="1">
      <c r="A39" s="7" t="inlineStr">
        <is>
          <t>APBD</t>
        </is>
      </c>
      <c r="B39" s="8" t="inlineStr">
        <is>
          <t>Lauk Pauk</t>
        </is>
      </c>
      <c r="C39" s="7" t="inlineStr">
        <is>
          <t>Pangan</t>
        </is>
      </c>
      <c r="D39" s="7" t="inlineStr">
        <is>
          <t>BAST-2026-IN-0023</t>
        </is>
      </c>
      <c r="E39" s="10" t="n">
        <v>46647</v>
      </c>
      <c r="F39" s="7" t="n">
        <v>327</v>
      </c>
      <c r="G39" s="9" t="n"/>
      <c r="H39" s="9" t="n">
        <v>35000</v>
      </c>
    </row>
    <row r="40" ht="20" customHeight="1">
      <c r="A40" s="2" t="inlineStr">
        <is>
          <t>APBN</t>
        </is>
      </c>
      <c r="B40" s="3" t="inlineStr">
        <is>
          <t>Biskuit</t>
        </is>
      </c>
      <c r="C40" s="2" t="inlineStr">
        <is>
          <t>Pangan</t>
        </is>
      </c>
      <c r="D40" s="2" t="inlineStr">
        <is>
          <t>BAST-2026-IN-0048</t>
        </is>
      </c>
      <c r="E40" s="5" t="n">
        <v>46666</v>
      </c>
      <c r="F40" s="2" t="n">
        <v>346</v>
      </c>
      <c r="G40" s="4" t="n"/>
      <c r="H40" s="4" t="n">
        <v>25000</v>
      </c>
    </row>
    <row r="41" ht="20" customHeight="1">
      <c r="A41" s="7" t="inlineStr">
        <is>
          <t>CSR</t>
        </is>
      </c>
      <c r="B41" s="8" t="inlineStr">
        <is>
          <t>Sanitasi Kit</t>
        </is>
      </c>
      <c r="C41" s="7" t="inlineStr">
        <is>
          <t>Logistik Lainnya</t>
        </is>
      </c>
      <c r="D41" s="7" t="inlineStr">
        <is>
          <t>BAST-2026-IN-0011</t>
        </is>
      </c>
      <c r="E41" s="10" t="n">
        <v>46669</v>
      </c>
      <c r="F41" s="7" t="n">
        <v>349</v>
      </c>
      <c r="G41" s="9" t="n"/>
      <c r="H41" s="9" t="n">
        <v>250000</v>
      </c>
    </row>
    <row r="42" ht="20" customHeight="1">
      <c r="A42" s="2" t="inlineStr">
        <is>
          <t>APBN</t>
        </is>
      </c>
      <c r="B42" s="3" t="inlineStr">
        <is>
          <t>Lauk Pauk</t>
        </is>
      </c>
      <c r="C42" s="2" t="inlineStr">
        <is>
          <t>Pangan</t>
        </is>
      </c>
      <c r="D42" s="2" t="inlineStr">
        <is>
          <t>BAST-2026-IN-0021</t>
        </is>
      </c>
      <c r="E42" s="5" t="n">
        <v>46702</v>
      </c>
      <c r="F42" s="2" t="n">
        <v>382</v>
      </c>
      <c r="G42" s="4" t="n"/>
      <c r="H42" s="4" t="n">
        <v>35000</v>
      </c>
    </row>
    <row r="43" ht="20" customHeight="1">
      <c r="A43" s="7" t="inlineStr">
        <is>
          <t>APBD</t>
        </is>
      </c>
      <c r="B43" s="8" t="inlineStr">
        <is>
          <t>Air Mineral</t>
        </is>
      </c>
      <c r="C43" s="7" t="inlineStr">
        <is>
          <t>Pangan</t>
        </is>
      </c>
      <c r="D43" s="7" t="inlineStr">
        <is>
          <t>BAST-2025-IN-0066</t>
        </is>
      </c>
      <c r="E43" s="10" t="n">
        <v>46708</v>
      </c>
      <c r="F43" s="7" t="n">
        <v>388</v>
      </c>
      <c r="G43" s="9" t="n"/>
      <c r="H43" s="9" t="n">
        <v>30000</v>
      </c>
    </row>
    <row r="44" ht="20" customHeight="1">
      <c r="A44" s="2" t="inlineStr">
        <is>
          <t>APBN</t>
        </is>
      </c>
      <c r="B44" s="3" t="inlineStr">
        <is>
          <t>Lauk Pauk</t>
        </is>
      </c>
      <c r="C44" s="2" t="inlineStr">
        <is>
          <t>Pangan</t>
        </is>
      </c>
      <c r="D44" s="2" t="inlineStr">
        <is>
          <t>BAST-2026-IN-0052</t>
        </is>
      </c>
      <c r="E44" s="5" t="n">
        <v>46757</v>
      </c>
      <c r="F44" s="2" t="n">
        <v>437</v>
      </c>
      <c r="G44" s="4" t="n"/>
      <c r="H44" s="4" t="n">
        <v>35000</v>
      </c>
    </row>
    <row r="45" ht="20" customHeight="1">
      <c r="A45" s="7" t="inlineStr">
        <is>
          <t>APBN</t>
        </is>
      </c>
      <c r="B45" s="8" t="inlineStr">
        <is>
          <t>Biskuit</t>
        </is>
      </c>
      <c r="C45" s="7" t="inlineStr">
        <is>
          <t>Pangan</t>
        </is>
      </c>
      <c r="D45" s="7" t="inlineStr">
        <is>
          <t>BAST-2026-IN-0078</t>
        </is>
      </c>
      <c r="E45" s="10" t="n">
        <v>46776</v>
      </c>
      <c r="F45" s="7" t="n">
        <v>456</v>
      </c>
      <c r="G45" s="9" t="n"/>
      <c r="H45" s="9" t="n">
        <v>25000</v>
      </c>
    </row>
    <row r="46" ht="20" customHeight="1">
      <c r="A46" s="2" t="inlineStr">
        <is>
          <t>CSR</t>
        </is>
      </c>
      <c r="B46" s="3" t="inlineStr">
        <is>
          <t>Air Mineral</t>
        </is>
      </c>
      <c r="C46" s="2" t="inlineStr">
        <is>
          <t>Pangan</t>
        </is>
      </c>
      <c r="D46" s="2" t="inlineStr">
        <is>
          <t>BAST-2025-IN-0076</t>
        </is>
      </c>
      <c r="E46" s="5" t="n">
        <v>46786</v>
      </c>
      <c r="F46" s="2" t="n">
        <v>466</v>
      </c>
      <c r="G46" s="4" t="n"/>
      <c r="H46" s="4" t="n">
        <v>30000</v>
      </c>
    </row>
    <row r="47" ht="20" customHeight="1">
      <c r="A47" s="7" t="inlineStr">
        <is>
          <t>APBD</t>
        </is>
      </c>
      <c r="B47" s="8" t="inlineStr">
        <is>
          <t>Sanitasi Kit</t>
        </is>
      </c>
      <c r="C47" s="7" t="inlineStr">
        <is>
          <t>Logistik Lainnya</t>
        </is>
      </c>
      <c r="D47" s="7" t="inlineStr">
        <is>
          <t>BAST-2026-IN-0046</t>
        </is>
      </c>
      <c r="E47" s="10" t="n">
        <v>46798</v>
      </c>
      <c r="F47" s="7" t="n">
        <v>478</v>
      </c>
      <c r="G47" s="9" t="n"/>
      <c r="H47" s="9" t="n">
        <v>250000</v>
      </c>
    </row>
    <row r="48" ht="20" customHeight="1">
      <c r="A48" s="2" t="inlineStr">
        <is>
          <t>APBD</t>
        </is>
      </c>
      <c r="B48" s="3" t="inlineStr">
        <is>
          <t>Air Mineral</t>
        </is>
      </c>
      <c r="C48" s="2" t="inlineStr">
        <is>
          <t>Pangan</t>
        </is>
      </c>
      <c r="D48" s="2" t="inlineStr">
        <is>
          <t>BAST-2025-IN-0107</t>
        </is>
      </c>
      <c r="E48" s="5" t="n">
        <v>46805</v>
      </c>
      <c r="F48" s="2" t="n">
        <v>485</v>
      </c>
      <c r="G48" s="4" t="n"/>
      <c r="H48" s="4" t="n">
        <v>30000</v>
      </c>
    </row>
    <row r="49" ht="20" customHeight="1">
      <c r="A49" s="7" t="inlineStr">
        <is>
          <t>APBN</t>
        </is>
      </c>
      <c r="B49" s="8" t="inlineStr">
        <is>
          <t>Makanan Siap Saji</t>
        </is>
      </c>
      <c r="C49" s="7" t="inlineStr">
        <is>
          <t>Pangan</t>
        </is>
      </c>
      <c r="D49" s="7" t="inlineStr">
        <is>
          <t>BAST-2026-IN-0067</t>
        </is>
      </c>
      <c r="E49" s="10" t="n">
        <v>46809</v>
      </c>
      <c r="F49" s="7" t="n">
        <v>489</v>
      </c>
      <c r="G49" s="9" t="n"/>
      <c r="H49" s="9" t="n">
        <v>45000</v>
      </c>
    </row>
    <row r="50" ht="20" customHeight="1">
      <c r="A50" s="2" t="inlineStr">
        <is>
          <t>APBN</t>
        </is>
      </c>
      <c r="B50" s="3" t="inlineStr">
        <is>
          <t>Makanan Siap Saji</t>
        </is>
      </c>
      <c r="C50" s="2" t="inlineStr">
        <is>
          <t>Pangan</t>
        </is>
      </c>
      <c r="D50" s="2" t="inlineStr">
        <is>
          <t>BAST-2026-IN-0068</t>
        </is>
      </c>
      <c r="E50" s="5" t="n">
        <v>46813</v>
      </c>
      <c r="F50" s="2" t="n">
        <v>493</v>
      </c>
      <c r="G50" s="4" t="n"/>
      <c r="H50" s="4" t="n">
        <v>45000</v>
      </c>
    </row>
    <row r="51" ht="20" customHeight="1">
      <c r="A51" s="7" t="inlineStr">
        <is>
          <t>APBD</t>
        </is>
      </c>
      <c r="B51" s="8" t="inlineStr">
        <is>
          <t>Air Mineral</t>
        </is>
      </c>
      <c r="C51" s="7" t="inlineStr">
        <is>
          <t>Pangan</t>
        </is>
      </c>
      <c r="D51" s="7" t="inlineStr">
        <is>
          <t>BAST-2026-IN-0061</t>
        </is>
      </c>
      <c r="E51" s="10" t="n">
        <v>47074</v>
      </c>
      <c r="F51" s="7" t="n">
        <v>754</v>
      </c>
      <c r="G51" s="9" t="n"/>
      <c r="H51" s="9" t="n">
        <v>30000</v>
      </c>
    </row>
    <row r="52" ht="20" customHeight="1">
      <c r="A52" s="2" t="inlineStr">
        <is>
          <t>APBN</t>
        </is>
      </c>
      <c r="B52" s="3" t="inlineStr">
        <is>
          <t>Air Mineral</t>
        </is>
      </c>
      <c r="C52" s="2" t="inlineStr">
        <is>
          <t>Pangan</t>
        </is>
      </c>
      <c r="D52" s="2" t="inlineStr">
        <is>
          <t>BAST-2026-IN-0064</t>
        </is>
      </c>
      <c r="E52" s="5" t="n">
        <v>47077</v>
      </c>
      <c r="F52" s="2" t="n">
        <v>757</v>
      </c>
      <c r="G52" s="4" t="n"/>
      <c r="H52" s="4" t="n">
        <v>30000</v>
      </c>
    </row>
  </sheetData>
  <dataValidations count="2">
    <dataValidation sqref="A2:A251 B2:B61" showDropDown="0" showInputMessage="0" showErrorMessage="0" allowBlank="1" type="list">
      <formula1>'_RefData'!$A$2:$A$4</formula1>
    </dataValidation>
    <dataValidation sqref="C2:C251 D2:D61 E2:E89" showDropDown="0" showInputMessage="0" showErrorMessage="0" allowBlank="1" type="list">
      <formula1>'_RefData'!$B$2:$B$5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7" customWidth="1" min="4" max="4"/>
    <col width="20" customWidth="1" min="5" max="5"/>
    <col width="21" customWidth="1" min="6" max="6"/>
    <col width="25" customWidth="1" min="7" max="7"/>
    <col width="30" customWidth="1" min="8" max="8"/>
    <col width="29" customWidth="1" min="9" max="9"/>
  </cols>
  <sheetData>
    <row r="1" ht="26" customHeight="1">
      <c r="A1" s="1" t="inlineStr">
        <is>
          <t>Nomor Surat Permohonan</t>
        </is>
      </c>
      <c r="B1" s="1" t="inlineStr">
        <is>
          <t>Tahun Anggaran</t>
        </is>
      </c>
      <c r="C1" s="1" t="inlineStr">
        <is>
          <t>Tanggal Permohonan</t>
        </is>
      </c>
      <c r="D1" s="1" t="inlineStr">
        <is>
          <t>Kab/Kota Pemohon</t>
        </is>
      </c>
      <c r="E1" s="1" t="inlineStr">
        <is>
          <t>Kategori Barang</t>
        </is>
      </c>
      <c r="F1" s="1" t="inlineStr">
        <is>
          <t>Barang</t>
        </is>
      </c>
      <c r="G1" s="1" t="inlineStr">
        <is>
          <t>Jumlah Diminta (Unit)</t>
        </is>
      </c>
      <c r="H1" s="1" t="inlineStr">
        <is>
          <t>Estimasi Harga Satuan (Rp)</t>
        </is>
      </c>
      <c r="I1" s="1" t="inlineStr">
        <is>
          <t>Estimasi Nilai Total (Rp)</t>
        </is>
      </c>
    </row>
    <row r="2" ht="20" customHeight="1">
      <c r="A2" s="2" t="inlineStr">
        <is>
          <t>360/001/BPBD-KAB/I/2025</t>
        </is>
      </c>
      <c r="B2" s="2" t="n">
        <v>2025</v>
      </c>
      <c r="C2" s="5" t="n">
        <v>45677</v>
      </c>
      <c r="D2" s="3" t="inlineStr">
        <is>
          <t>Kabupaten Bandung</t>
        </is>
      </c>
      <c r="E2" s="2" t="inlineStr">
        <is>
          <t>Pangan</t>
        </is>
      </c>
      <c r="F2" s="3" t="inlineStr">
        <is>
          <t>Beras</t>
        </is>
      </c>
      <c r="G2" s="4" t="n">
        <v>760</v>
      </c>
      <c r="H2" s="4" t="n">
        <v>15000</v>
      </c>
      <c r="I2" s="4" t="n">
        <v>11400000</v>
      </c>
    </row>
    <row r="3" ht="20" customHeight="1">
      <c r="A3" s="7" t="inlineStr">
        <is>
          <t>360/002/BPBD-KAB/I/2025</t>
        </is>
      </c>
      <c r="B3" s="7" t="n">
        <v>2025</v>
      </c>
      <c r="C3" s="10" t="n">
        <v>45677</v>
      </c>
      <c r="D3" s="8" t="inlineStr">
        <is>
          <t>Kabupaten Bandung</t>
        </is>
      </c>
      <c r="E3" s="7" t="inlineStr">
        <is>
          <t>Sandang</t>
        </is>
      </c>
      <c r="F3" s="8" t="inlineStr">
        <is>
          <t>Selimut</t>
        </is>
      </c>
      <c r="G3" s="9" t="n">
        <v>760</v>
      </c>
      <c r="H3" s="9" t="n">
        <v>85000</v>
      </c>
      <c r="I3" s="9" t="n">
        <v>64600000</v>
      </c>
    </row>
    <row r="4" ht="20" customHeight="1">
      <c r="A4" s="2" t="inlineStr">
        <is>
          <t>360/005/BPBD-KAB/I/2025</t>
        </is>
      </c>
      <c r="B4" s="2" t="n">
        <v>2025</v>
      </c>
      <c r="C4" s="5" t="n">
        <v>45674</v>
      </c>
      <c r="D4" s="3" t="inlineStr">
        <is>
          <t>Kabupaten Bandung Barat</t>
        </is>
      </c>
      <c r="E4" s="2" t="inlineStr">
        <is>
          <t>Pangan</t>
        </is>
      </c>
      <c r="F4" s="3" t="inlineStr">
        <is>
          <t>Lauk Pauk</t>
        </is>
      </c>
      <c r="G4" s="4" t="n">
        <v>480</v>
      </c>
      <c r="H4" s="4" t="n">
        <v>35000</v>
      </c>
      <c r="I4" s="4" t="n">
        <v>16800000</v>
      </c>
    </row>
    <row r="5" ht="20" customHeight="1">
      <c r="A5" s="7" t="inlineStr">
        <is>
          <t>360/006/BPBD-KAB/I/2025</t>
        </is>
      </c>
      <c r="B5" s="7" t="n">
        <v>2025</v>
      </c>
      <c r="C5" s="10" t="n">
        <v>45680</v>
      </c>
      <c r="D5" s="8" t="inlineStr">
        <is>
          <t>Kabupaten Bekasi</t>
        </is>
      </c>
      <c r="E5" s="7" t="inlineStr">
        <is>
          <t>Pangan</t>
        </is>
      </c>
      <c r="F5" s="8" t="inlineStr">
        <is>
          <t>Beras</t>
        </is>
      </c>
      <c r="G5" s="9" t="n">
        <v>3940</v>
      </c>
      <c r="H5" s="9" t="n">
        <v>15000</v>
      </c>
      <c r="I5" s="9" t="n">
        <v>59100000</v>
      </c>
    </row>
    <row r="6" ht="20" customHeight="1">
      <c r="A6" s="2" t="inlineStr">
        <is>
          <t>360/007/BPBD-KAB/I/2025</t>
        </is>
      </c>
      <c r="B6" s="2" t="n">
        <v>2025</v>
      </c>
      <c r="C6" s="5" t="n">
        <v>45679</v>
      </c>
      <c r="D6" s="3" t="inlineStr">
        <is>
          <t>Kabupaten Bekasi</t>
        </is>
      </c>
      <c r="E6" s="2" t="inlineStr">
        <is>
          <t>Logistik Lainnya</t>
        </is>
      </c>
      <c r="F6" s="3" t="inlineStr">
        <is>
          <t>Chainsaw</t>
        </is>
      </c>
      <c r="G6" s="4" t="n">
        <v>10</v>
      </c>
      <c r="H6" s="4" t="n">
        <v>4500000</v>
      </c>
      <c r="I6" s="4" t="n">
        <v>45000000</v>
      </c>
    </row>
    <row r="7" ht="20" customHeight="1">
      <c r="A7" s="7" t="inlineStr">
        <is>
          <t>360/009/BPBD-KAB/I/2025</t>
        </is>
      </c>
      <c r="B7" s="7" t="n">
        <v>2025</v>
      </c>
      <c r="C7" s="10" t="n">
        <v>45679</v>
      </c>
      <c r="D7" s="8" t="inlineStr">
        <is>
          <t>Kabupaten Bogor</t>
        </is>
      </c>
      <c r="E7" s="7" t="inlineStr">
        <is>
          <t>Sandang</t>
        </is>
      </c>
      <c r="F7" s="8" t="inlineStr">
        <is>
          <t>Pakaian Anak</t>
        </is>
      </c>
      <c r="G7" s="9" t="n">
        <v>820</v>
      </c>
      <c r="H7" s="9" t="n">
        <v>75000</v>
      </c>
      <c r="I7" s="9" t="n">
        <v>61500000</v>
      </c>
    </row>
    <row r="8" ht="20" customHeight="1">
      <c r="A8" s="2" t="inlineStr">
        <is>
          <t>360/012/BPBD-KAB/I/2025</t>
        </is>
      </c>
      <c r="B8" s="2" t="n">
        <v>2025</v>
      </c>
      <c r="C8" s="5" t="n">
        <v>45681</v>
      </c>
      <c r="D8" s="3" t="inlineStr">
        <is>
          <t>Kabupaten Ciamis</t>
        </is>
      </c>
      <c r="E8" s="2" t="inlineStr">
        <is>
          <t>Pangan</t>
        </is>
      </c>
      <c r="F8" s="3" t="inlineStr">
        <is>
          <t>Beras</t>
        </is>
      </c>
      <c r="G8" s="4" t="n">
        <v>240</v>
      </c>
      <c r="H8" s="4" t="n">
        <v>15000</v>
      </c>
      <c r="I8" s="4" t="n">
        <v>3600000</v>
      </c>
    </row>
    <row r="9" ht="20" customHeight="1">
      <c r="A9" s="7" t="inlineStr">
        <is>
          <t>360/013/BPBD-KAB/I/2025</t>
        </is>
      </c>
      <c r="B9" s="7" t="n">
        <v>2025</v>
      </c>
      <c r="C9" s="10" t="n">
        <v>45673</v>
      </c>
      <c r="D9" s="8" t="inlineStr">
        <is>
          <t>Kabupaten Ciamis</t>
        </is>
      </c>
      <c r="E9" s="7" t="inlineStr">
        <is>
          <t>Sandang</t>
        </is>
      </c>
      <c r="F9" s="8" t="inlineStr">
        <is>
          <t>Selimut</t>
        </is>
      </c>
      <c r="G9" s="9" t="n">
        <v>240</v>
      </c>
      <c r="H9" s="9" t="n">
        <v>85000</v>
      </c>
      <c r="I9" s="9" t="n">
        <v>20400000</v>
      </c>
    </row>
    <row r="10" ht="20" customHeight="1">
      <c r="A10" s="2" t="inlineStr">
        <is>
          <t>360/016/BPBD-KAB/I/2025</t>
        </is>
      </c>
      <c r="B10" s="2" t="n">
        <v>2025</v>
      </c>
      <c r="C10" s="5" t="n">
        <v>45681</v>
      </c>
      <c r="D10" s="3" t="inlineStr">
        <is>
          <t>Kabupaten Cianjur</t>
        </is>
      </c>
      <c r="E10" s="2" t="inlineStr">
        <is>
          <t>Pangan</t>
        </is>
      </c>
      <c r="F10" s="3" t="inlineStr">
        <is>
          <t>Beras</t>
        </is>
      </c>
      <c r="G10" s="4" t="n">
        <v>750</v>
      </c>
      <c r="H10" s="4" t="n">
        <v>15000</v>
      </c>
      <c r="I10" s="4" t="n">
        <v>11250000</v>
      </c>
    </row>
    <row r="11" ht="20" customHeight="1">
      <c r="A11" s="7" t="inlineStr">
        <is>
          <t>360/017/BPBD-KAB/I/2025</t>
        </is>
      </c>
      <c r="B11" s="7" t="n">
        <v>2025</v>
      </c>
      <c r="C11" s="10" t="n">
        <v>45674</v>
      </c>
      <c r="D11" s="8" t="inlineStr">
        <is>
          <t>Kabupaten Cianjur</t>
        </is>
      </c>
      <c r="E11" s="7" t="inlineStr">
        <is>
          <t>Sandang</t>
        </is>
      </c>
      <c r="F11" s="8" t="inlineStr">
        <is>
          <t>Selimut</t>
        </is>
      </c>
      <c r="G11" s="9" t="n">
        <v>750</v>
      </c>
      <c r="H11" s="9" t="n">
        <v>85000</v>
      </c>
      <c r="I11" s="9" t="n">
        <v>63750000</v>
      </c>
    </row>
    <row r="12" ht="20" customHeight="1">
      <c r="A12" s="2" t="inlineStr">
        <is>
          <t>360/020/BPBD-KAB/I/2025</t>
        </is>
      </c>
      <c r="B12" s="2" t="n">
        <v>2025</v>
      </c>
      <c r="C12" s="5" t="n">
        <v>45674</v>
      </c>
      <c r="D12" s="3" t="inlineStr">
        <is>
          <t>Kabupaten Cirebon</t>
        </is>
      </c>
      <c r="E12" s="2" t="inlineStr">
        <is>
          <t>Pangan</t>
        </is>
      </c>
      <c r="F12" s="3" t="inlineStr">
        <is>
          <t>Susu Formula</t>
        </is>
      </c>
      <c r="G12" s="4" t="n">
        <v>1110</v>
      </c>
      <c r="H12" s="4" t="n">
        <v>65000</v>
      </c>
      <c r="I12" s="4" t="n">
        <v>72150000</v>
      </c>
    </row>
    <row r="13" ht="20" customHeight="1">
      <c r="A13" s="7" t="inlineStr">
        <is>
          <t>360/022/BPBD-KAB/I/2025</t>
        </is>
      </c>
      <c r="B13" s="7" t="n">
        <v>2025</v>
      </c>
      <c r="C13" s="10" t="n">
        <v>45673</v>
      </c>
      <c r="D13" s="8" t="inlineStr">
        <is>
          <t>Kabupaten Garut</t>
        </is>
      </c>
      <c r="E13" s="7" t="inlineStr">
        <is>
          <t>Papan</t>
        </is>
      </c>
      <c r="F13" s="8" t="inlineStr">
        <is>
          <t>Terpal</t>
        </is>
      </c>
      <c r="G13" s="9" t="n">
        <v>210</v>
      </c>
      <c r="H13" s="9" t="n">
        <v>150000</v>
      </c>
      <c r="I13" s="9" t="n">
        <v>31500000</v>
      </c>
    </row>
    <row r="14" ht="20" customHeight="1">
      <c r="A14" s="2" t="inlineStr">
        <is>
          <t>360/024/BPBD-KAB/I/2025</t>
        </is>
      </c>
      <c r="B14" s="2" t="n">
        <v>2025</v>
      </c>
      <c r="C14" s="5" t="n">
        <v>45680</v>
      </c>
      <c r="D14" s="3" t="inlineStr">
        <is>
          <t>Kabupaten Indramayu</t>
        </is>
      </c>
      <c r="E14" s="2" t="inlineStr">
        <is>
          <t>Pangan</t>
        </is>
      </c>
      <c r="F14" s="3" t="inlineStr">
        <is>
          <t>Biskuit</t>
        </is>
      </c>
      <c r="G14" s="4" t="n">
        <v>1260</v>
      </c>
      <c r="H14" s="4" t="n">
        <v>25000</v>
      </c>
      <c r="I14" s="4" t="n">
        <v>31500000</v>
      </c>
    </row>
    <row r="15" ht="20" customHeight="1">
      <c r="A15" s="7" t="inlineStr">
        <is>
          <t>360/025/BPBD-KAB/I/2025</t>
        </is>
      </c>
      <c r="B15" s="7" t="n">
        <v>2025</v>
      </c>
      <c r="C15" s="10" t="n">
        <v>45672</v>
      </c>
      <c r="D15" s="8" t="inlineStr">
        <is>
          <t>Kabupaten Indramayu</t>
        </is>
      </c>
      <c r="E15" s="7" t="inlineStr">
        <is>
          <t>Sandang</t>
        </is>
      </c>
      <c r="F15" s="8" t="inlineStr">
        <is>
          <t>Selimut</t>
        </is>
      </c>
      <c r="G15" s="9" t="n">
        <v>1060</v>
      </c>
      <c r="H15" s="9" t="n">
        <v>85000</v>
      </c>
      <c r="I15" s="9" t="n">
        <v>90100000</v>
      </c>
    </row>
    <row r="16" ht="20" customHeight="1">
      <c r="A16" s="2" t="inlineStr">
        <is>
          <t>360/026/BPBD-KAB/I/2025</t>
        </is>
      </c>
      <c r="B16" s="2" t="n">
        <v>2025</v>
      </c>
      <c r="C16" s="5" t="n">
        <v>45676</v>
      </c>
      <c r="D16" s="3" t="inlineStr">
        <is>
          <t>Kabupaten Karawang</t>
        </is>
      </c>
      <c r="E16" s="2" t="inlineStr">
        <is>
          <t>Sandang</t>
        </is>
      </c>
      <c r="F16" s="3" t="inlineStr">
        <is>
          <t>Selimut</t>
        </is>
      </c>
      <c r="G16" s="4" t="n">
        <v>1670</v>
      </c>
      <c r="H16" s="4" t="n">
        <v>85000</v>
      </c>
      <c r="I16" s="4" t="n">
        <v>141950000</v>
      </c>
    </row>
    <row r="17" ht="20" customHeight="1">
      <c r="A17" s="7" t="inlineStr">
        <is>
          <t>360/027/BPBD-KAB/I/2025</t>
        </is>
      </c>
      <c r="B17" s="7" t="n">
        <v>2025</v>
      </c>
      <c r="C17" s="10" t="n">
        <v>45673</v>
      </c>
      <c r="D17" s="8" t="inlineStr">
        <is>
          <t>Kabupaten Karawang</t>
        </is>
      </c>
      <c r="E17" s="7" t="inlineStr">
        <is>
          <t>Papan</t>
        </is>
      </c>
      <c r="F17" s="8" t="inlineStr">
        <is>
          <t>Tenda Pengungsi</t>
        </is>
      </c>
      <c r="G17" s="9" t="n">
        <v>130</v>
      </c>
      <c r="H17" s="9" t="n">
        <v>8500000</v>
      </c>
      <c r="I17" s="9" t="n">
        <v>1105000000</v>
      </c>
    </row>
    <row r="18" ht="20" customHeight="1">
      <c r="A18" s="2" t="inlineStr">
        <is>
          <t>360/029/BPBD-KAB/I/2025</t>
        </is>
      </c>
      <c r="B18" s="2" t="n">
        <v>2025</v>
      </c>
      <c r="C18" s="5" t="n">
        <v>45681</v>
      </c>
      <c r="D18" s="3" t="inlineStr">
        <is>
          <t>Kabupaten Kuningan</t>
        </is>
      </c>
      <c r="E18" s="2" t="inlineStr">
        <is>
          <t>Pangan</t>
        </is>
      </c>
      <c r="F18" s="3" t="inlineStr">
        <is>
          <t>Beras</t>
        </is>
      </c>
      <c r="G18" s="4" t="n">
        <v>500</v>
      </c>
      <c r="H18" s="4" t="n">
        <v>15000</v>
      </c>
      <c r="I18" s="4" t="n">
        <v>7500000</v>
      </c>
    </row>
    <row r="19" ht="20" customHeight="1">
      <c r="A19" s="7" t="inlineStr">
        <is>
          <t>360/030/BPBD-KAB/I/2025</t>
        </is>
      </c>
      <c r="B19" s="7" t="n">
        <v>2025</v>
      </c>
      <c r="C19" s="10" t="n">
        <v>45678</v>
      </c>
      <c r="D19" s="8" t="inlineStr">
        <is>
          <t>Kabupaten Kuningan</t>
        </is>
      </c>
      <c r="E19" s="7" t="inlineStr">
        <is>
          <t>Sandang</t>
        </is>
      </c>
      <c r="F19" s="8" t="inlineStr">
        <is>
          <t>Selimut</t>
        </is>
      </c>
      <c r="G19" s="9" t="n">
        <v>500</v>
      </c>
      <c r="H19" s="9" t="n">
        <v>85000</v>
      </c>
      <c r="I19" s="9" t="n">
        <v>42500000</v>
      </c>
    </row>
    <row r="20" ht="20" customHeight="1">
      <c r="A20" s="2" t="inlineStr">
        <is>
          <t>360/033/BPBD-KAB/I/2025</t>
        </is>
      </c>
      <c r="B20" s="2" t="n">
        <v>2025</v>
      </c>
      <c r="C20" s="5" t="n">
        <v>45673</v>
      </c>
      <c r="D20" s="3" t="inlineStr">
        <is>
          <t>Kabupaten Majalengka</t>
        </is>
      </c>
      <c r="E20" s="2" t="inlineStr">
        <is>
          <t>Sandang</t>
        </is>
      </c>
      <c r="F20" s="3" t="inlineStr">
        <is>
          <t>Matras</t>
        </is>
      </c>
      <c r="G20" s="4" t="n">
        <v>600</v>
      </c>
      <c r="H20" s="4" t="n">
        <v>120000</v>
      </c>
      <c r="I20" s="4" t="n">
        <v>72000000</v>
      </c>
    </row>
    <row r="21" ht="20" customHeight="1">
      <c r="A21" s="7" t="inlineStr">
        <is>
          <t>360/039/BPBD-KAB/I/2025</t>
        </is>
      </c>
      <c r="B21" s="7" t="n">
        <v>2025</v>
      </c>
      <c r="C21" s="10" t="n">
        <v>45681</v>
      </c>
      <c r="D21" s="8" t="inlineStr">
        <is>
          <t>Kabupaten Subang</t>
        </is>
      </c>
      <c r="E21" s="7" t="inlineStr">
        <is>
          <t>Sandang</t>
        </is>
      </c>
      <c r="F21" s="8" t="inlineStr">
        <is>
          <t>Pakaian Anak</t>
        </is>
      </c>
      <c r="G21" s="9" t="n">
        <v>350</v>
      </c>
      <c r="H21" s="9" t="n">
        <v>75000</v>
      </c>
      <c r="I21" s="9" t="n">
        <v>26250000</v>
      </c>
    </row>
    <row r="22" ht="20" customHeight="1">
      <c r="A22" s="2" t="inlineStr">
        <is>
          <t>360/040/BPBD-KAB/I/2025</t>
        </is>
      </c>
      <c r="B22" s="2" t="n">
        <v>2025</v>
      </c>
      <c r="C22" s="5" t="n">
        <v>45677</v>
      </c>
      <c r="D22" s="3" t="inlineStr">
        <is>
          <t>Kabupaten Subang</t>
        </is>
      </c>
      <c r="E22" s="2" t="inlineStr">
        <is>
          <t>Papan</t>
        </is>
      </c>
      <c r="F22" s="3" t="inlineStr">
        <is>
          <t>Terpal</t>
        </is>
      </c>
      <c r="G22" s="4" t="n">
        <v>350</v>
      </c>
      <c r="H22" s="4" t="n">
        <v>150000</v>
      </c>
      <c r="I22" s="4" t="n">
        <v>52500000</v>
      </c>
    </row>
    <row r="23" ht="20" customHeight="1">
      <c r="A23" s="7" t="inlineStr">
        <is>
          <t>360/042/BPBD-KAB/I/2025</t>
        </is>
      </c>
      <c r="B23" s="7" t="n">
        <v>2025</v>
      </c>
      <c r="C23" s="10" t="n">
        <v>45675</v>
      </c>
      <c r="D23" s="8" t="inlineStr">
        <is>
          <t>Kabupaten Subang</t>
        </is>
      </c>
      <c r="E23" s="7" t="inlineStr">
        <is>
          <t>Pangan</t>
        </is>
      </c>
      <c r="F23" s="8" t="inlineStr">
        <is>
          <t>Beras</t>
        </is>
      </c>
      <c r="G23" s="9" t="n">
        <v>0</v>
      </c>
      <c r="H23" s="9" t="n">
        <v>15000</v>
      </c>
      <c r="I23" s="9" t="n">
        <v>0</v>
      </c>
    </row>
    <row r="24" ht="20" customHeight="1">
      <c r="A24" s="2" t="inlineStr">
        <is>
          <t>360/043/BPBD-KAB/I/2025</t>
        </is>
      </c>
      <c r="B24" s="2" t="n">
        <v>2025</v>
      </c>
      <c r="C24" s="5" t="n">
        <v>45675</v>
      </c>
      <c r="D24" s="3" t="inlineStr">
        <is>
          <t>Kabupaten Subang</t>
        </is>
      </c>
      <c r="E24" s="2" t="inlineStr">
        <is>
          <t>Sandang</t>
        </is>
      </c>
      <c r="F24" s="3" t="inlineStr">
        <is>
          <t>Selimut</t>
        </is>
      </c>
      <c r="G24" s="4" t="n">
        <v>0</v>
      </c>
      <c r="H24" s="4" t="n">
        <v>85000</v>
      </c>
      <c r="I24" s="4" t="n">
        <v>0</v>
      </c>
    </row>
    <row r="25" ht="20" customHeight="1">
      <c r="A25" s="7" t="inlineStr">
        <is>
          <t>360/045/BPBD-KAB/I/2025</t>
        </is>
      </c>
      <c r="B25" s="7" t="n">
        <v>2025</v>
      </c>
      <c r="C25" s="10" t="n">
        <v>45672</v>
      </c>
      <c r="D25" s="8" t="inlineStr">
        <is>
          <t>Kabupaten Sukabumi</t>
        </is>
      </c>
      <c r="E25" s="7" t="inlineStr">
        <is>
          <t>Papan</t>
        </is>
      </c>
      <c r="F25" s="8" t="inlineStr">
        <is>
          <t>Tenda Keluarga</t>
        </is>
      </c>
      <c r="G25" s="9" t="n">
        <v>80</v>
      </c>
      <c r="H25" s="9" t="n">
        <v>3200000</v>
      </c>
      <c r="I25" s="9" t="n">
        <v>256000000</v>
      </c>
    </row>
    <row r="26" ht="20" customHeight="1">
      <c r="A26" s="2" t="inlineStr">
        <is>
          <t>360/046/BPBD-KAB/I/2025</t>
        </is>
      </c>
      <c r="B26" s="2" t="n">
        <v>2025</v>
      </c>
      <c r="C26" s="5" t="n">
        <v>45673</v>
      </c>
      <c r="D26" s="3" t="inlineStr">
        <is>
          <t>Kabupaten Sukabumi</t>
        </is>
      </c>
      <c r="E26" s="2" t="inlineStr">
        <is>
          <t>Pangan</t>
        </is>
      </c>
      <c r="F26" s="3" t="inlineStr">
        <is>
          <t>Makanan Siap Saji</t>
        </is>
      </c>
      <c r="G26" s="4" t="n">
        <v>2150</v>
      </c>
      <c r="H26" s="4" t="n">
        <v>45000</v>
      </c>
      <c r="I26" s="4" t="n">
        <v>96750000</v>
      </c>
    </row>
    <row r="27" ht="20" customHeight="1">
      <c r="A27" s="7" t="inlineStr">
        <is>
          <t>360/048/BPBD-KAB/I/2025</t>
        </is>
      </c>
      <c r="B27" s="7" t="n">
        <v>2025</v>
      </c>
      <c r="C27" s="10" t="n">
        <v>45679</v>
      </c>
      <c r="D27" s="8" t="inlineStr">
        <is>
          <t>Kabupaten Sumedang</t>
        </is>
      </c>
      <c r="E27" s="7" t="inlineStr">
        <is>
          <t>Pangan</t>
        </is>
      </c>
      <c r="F27" s="8" t="inlineStr">
        <is>
          <t>Beras</t>
        </is>
      </c>
      <c r="G27" s="9" t="n">
        <v>480</v>
      </c>
      <c r="H27" s="9" t="n">
        <v>15000</v>
      </c>
      <c r="I27" s="9" t="n">
        <v>7200000</v>
      </c>
    </row>
    <row r="28" ht="20" customHeight="1">
      <c r="A28" s="2" t="inlineStr">
        <is>
          <t>360/049/BPBD-KAB/I/2025</t>
        </is>
      </c>
      <c r="B28" s="2" t="n">
        <v>2025</v>
      </c>
      <c r="C28" s="5" t="n">
        <v>45678</v>
      </c>
      <c r="D28" s="3" t="inlineStr">
        <is>
          <t>Kabupaten Sumedang</t>
        </is>
      </c>
      <c r="E28" s="2" t="inlineStr">
        <is>
          <t>Sandang</t>
        </is>
      </c>
      <c r="F28" s="3" t="inlineStr">
        <is>
          <t>Selimut</t>
        </is>
      </c>
      <c r="G28" s="4" t="n">
        <v>480</v>
      </c>
      <c r="H28" s="4" t="n">
        <v>85000</v>
      </c>
      <c r="I28" s="4" t="n">
        <v>40800000</v>
      </c>
    </row>
    <row r="29" ht="20" customHeight="1">
      <c r="A29" s="7" t="inlineStr">
        <is>
          <t>360/054/BPBD-KOTA/I/2025</t>
        </is>
      </c>
      <c r="B29" s="7" t="n">
        <v>2025</v>
      </c>
      <c r="C29" s="10" t="n">
        <v>45678</v>
      </c>
      <c r="D29" s="8" t="inlineStr">
        <is>
          <t>Kota Bandung</t>
        </is>
      </c>
      <c r="E29" s="7" t="inlineStr">
        <is>
          <t>Pangan</t>
        </is>
      </c>
      <c r="F29" s="8" t="inlineStr">
        <is>
          <t>Susu Formula</t>
        </is>
      </c>
      <c r="G29" s="9" t="n">
        <v>670</v>
      </c>
      <c r="H29" s="9" t="n">
        <v>65000</v>
      </c>
      <c r="I29" s="9" t="n">
        <v>43550000</v>
      </c>
    </row>
    <row r="30" ht="20" customHeight="1">
      <c r="A30" s="2" t="inlineStr">
        <is>
          <t>360/056/BPBD-KOTA/I/2025</t>
        </is>
      </c>
      <c r="B30" s="2" t="n">
        <v>2025</v>
      </c>
      <c r="C30" s="5" t="n">
        <v>45681</v>
      </c>
      <c r="D30" s="3" t="inlineStr">
        <is>
          <t>Kota Bandung</t>
        </is>
      </c>
      <c r="E30" s="2" t="inlineStr">
        <is>
          <t>Pangan</t>
        </is>
      </c>
      <c r="F30" s="3" t="inlineStr">
        <is>
          <t>Beras</t>
        </is>
      </c>
      <c r="G30" s="4" t="n">
        <v>0</v>
      </c>
      <c r="H30" s="4" t="n">
        <v>15000</v>
      </c>
      <c r="I30" s="4" t="n">
        <v>0</v>
      </c>
    </row>
    <row r="31" ht="20" customHeight="1">
      <c r="A31" s="7" t="inlineStr">
        <is>
          <t>360/057/BPBD-KOTA/I/2025</t>
        </is>
      </c>
      <c r="B31" s="7" t="n">
        <v>2025</v>
      </c>
      <c r="C31" s="10" t="n">
        <v>45682</v>
      </c>
      <c r="D31" s="8" t="inlineStr">
        <is>
          <t>Kota Bandung</t>
        </is>
      </c>
      <c r="E31" s="7" t="inlineStr">
        <is>
          <t>Sandang</t>
        </is>
      </c>
      <c r="F31" s="8" t="inlineStr">
        <is>
          <t>Selimut</t>
        </is>
      </c>
      <c r="G31" s="9" t="n">
        <v>0</v>
      </c>
      <c r="H31" s="9" t="n">
        <v>85000</v>
      </c>
      <c r="I31" s="9" t="n">
        <v>0</v>
      </c>
    </row>
    <row r="32" ht="20" customHeight="1">
      <c r="A32" s="2" t="inlineStr">
        <is>
          <t>360/060/BPBD-KOTA/I/2025</t>
        </is>
      </c>
      <c r="B32" s="2" t="n">
        <v>2025</v>
      </c>
      <c r="C32" s="5" t="n">
        <v>45680</v>
      </c>
      <c r="D32" s="3" t="inlineStr">
        <is>
          <t>Kota Banjar</t>
        </is>
      </c>
      <c r="E32" s="2" t="inlineStr">
        <is>
          <t>Pangan</t>
        </is>
      </c>
      <c r="F32" s="3" t="inlineStr">
        <is>
          <t>Lauk Pauk</t>
        </is>
      </c>
      <c r="G32" s="4" t="n">
        <v>1320</v>
      </c>
      <c r="H32" s="4" t="n">
        <v>35000</v>
      </c>
      <c r="I32" s="4" t="n">
        <v>46200000</v>
      </c>
    </row>
    <row r="33" ht="20" customHeight="1">
      <c r="A33" s="7" t="inlineStr">
        <is>
          <t>360/063/BPBD-KOTA/I/2025</t>
        </is>
      </c>
      <c r="B33" s="7" t="n">
        <v>2025</v>
      </c>
      <c r="C33" s="10" t="n">
        <v>45678</v>
      </c>
      <c r="D33" s="8" t="inlineStr">
        <is>
          <t>Kota Banjar</t>
        </is>
      </c>
      <c r="E33" s="7" t="inlineStr">
        <is>
          <t>Pangan</t>
        </is>
      </c>
      <c r="F33" s="8" t="inlineStr">
        <is>
          <t>Beras</t>
        </is>
      </c>
      <c r="G33" s="9" t="n">
        <v>0</v>
      </c>
      <c r="H33" s="9" t="n">
        <v>15000</v>
      </c>
      <c r="I33" s="9" t="n">
        <v>0</v>
      </c>
    </row>
    <row r="34" ht="20" customHeight="1">
      <c r="A34" s="2" t="inlineStr">
        <is>
          <t>360/064/BPBD-KOTA/I/2025</t>
        </is>
      </c>
      <c r="B34" s="2" t="n">
        <v>2025</v>
      </c>
      <c r="C34" s="5" t="n">
        <v>45672</v>
      </c>
      <c r="D34" s="3" t="inlineStr">
        <is>
          <t>Kota Banjar</t>
        </is>
      </c>
      <c r="E34" s="2" t="inlineStr">
        <is>
          <t>Sandang</t>
        </is>
      </c>
      <c r="F34" s="3" t="inlineStr">
        <is>
          <t>Selimut</t>
        </is>
      </c>
      <c r="G34" s="4" t="n">
        <v>0</v>
      </c>
      <c r="H34" s="4" t="n">
        <v>85000</v>
      </c>
      <c r="I34" s="4" t="n">
        <v>0</v>
      </c>
    </row>
    <row r="35" ht="20" customHeight="1">
      <c r="A35" s="7" t="inlineStr">
        <is>
          <t>360/068/BPBD-KOTA/I/2025</t>
        </is>
      </c>
      <c r="B35" s="7" t="n">
        <v>2025</v>
      </c>
      <c r="C35" s="10" t="n">
        <v>45675</v>
      </c>
      <c r="D35" s="8" t="inlineStr">
        <is>
          <t>Kota Bekasi</t>
        </is>
      </c>
      <c r="E35" s="7" t="inlineStr">
        <is>
          <t>Pangan</t>
        </is>
      </c>
      <c r="F35" s="8" t="inlineStr">
        <is>
          <t>Beras</t>
        </is>
      </c>
      <c r="G35" s="9" t="n">
        <v>340</v>
      </c>
      <c r="H35" s="9" t="n">
        <v>15000</v>
      </c>
      <c r="I35" s="9" t="n">
        <v>5100000</v>
      </c>
    </row>
    <row r="36" ht="20" customHeight="1">
      <c r="A36" s="2" t="inlineStr">
        <is>
          <t>360/069/BPBD-KOTA/I/2025</t>
        </is>
      </c>
      <c r="B36" s="2" t="n">
        <v>2025</v>
      </c>
      <c r="C36" s="5" t="n">
        <v>45673</v>
      </c>
      <c r="D36" s="3" t="inlineStr">
        <is>
          <t>Kota Bekasi</t>
        </is>
      </c>
      <c r="E36" s="2" t="inlineStr">
        <is>
          <t>Sandang</t>
        </is>
      </c>
      <c r="F36" s="3" t="inlineStr">
        <is>
          <t>Selimut</t>
        </is>
      </c>
      <c r="G36" s="4" t="n">
        <v>340</v>
      </c>
      <c r="H36" s="4" t="n">
        <v>85000</v>
      </c>
      <c r="I36" s="4" t="n">
        <v>28900000</v>
      </c>
    </row>
    <row r="37" ht="20" customHeight="1">
      <c r="A37" s="7" t="inlineStr">
        <is>
          <t>360/072/BPBD-KOTA/I/2025</t>
        </is>
      </c>
      <c r="B37" s="7" t="n">
        <v>2025</v>
      </c>
      <c r="C37" s="10" t="n">
        <v>45677</v>
      </c>
      <c r="D37" s="8" t="inlineStr">
        <is>
          <t>Kota Bogor</t>
        </is>
      </c>
      <c r="E37" s="7" t="inlineStr">
        <is>
          <t>Papan</t>
        </is>
      </c>
      <c r="F37" s="8" t="inlineStr">
        <is>
          <t>Terpal</t>
        </is>
      </c>
      <c r="G37" s="9" t="n">
        <v>740</v>
      </c>
      <c r="H37" s="9" t="n">
        <v>150000</v>
      </c>
      <c r="I37" s="9" t="n">
        <v>111000000</v>
      </c>
    </row>
    <row r="38" ht="20" customHeight="1">
      <c r="A38" s="2" t="inlineStr">
        <is>
          <t>360/075/BPBD-KOTA/I/2025</t>
        </is>
      </c>
      <c r="B38" s="2" t="n">
        <v>2025</v>
      </c>
      <c r="C38" s="5" t="n">
        <v>45672</v>
      </c>
      <c r="D38" s="3" t="inlineStr">
        <is>
          <t>Kota Cimahi</t>
        </is>
      </c>
      <c r="E38" s="2" t="inlineStr">
        <is>
          <t>Logistik Lainnya</t>
        </is>
      </c>
      <c r="F38" s="3" t="inlineStr">
        <is>
          <t>Family Kit</t>
        </is>
      </c>
      <c r="G38" s="4" t="n">
        <v>560</v>
      </c>
      <c r="H38" s="4" t="n">
        <v>350000</v>
      </c>
      <c r="I38" s="4" t="n">
        <v>196000000</v>
      </c>
    </row>
    <row r="39" ht="20" customHeight="1">
      <c r="A39" s="7" t="inlineStr">
        <is>
          <t>360/078/BPBD-KOTA/I/2025</t>
        </is>
      </c>
      <c r="B39" s="7" t="n">
        <v>2025</v>
      </c>
      <c r="C39" s="10" t="n">
        <v>45677</v>
      </c>
      <c r="D39" s="8" t="inlineStr">
        <is>
          <t>Kota Cirebon</t>
        </is>
      </c>
      <c r="E39" s="7" t="inlineStr">
        <is>
          <t>Sandang</t>
        </is>
      </c>
      <c r="F39" s="8" t="inlineStr">
        <is>
          <t>Matras</t>
        </is>
      </c>
      <c r="G39" s="9" t="n">
        <v>1070</v>
      </c>
      <c r="H39" s="9" t="n">
        <v>120000</v>
      </c>
      <c r="I39" s="9" t="n">
        <v>128400000</v>
      </c>
    </row>
    <row r="40" ht="20" customHeight="1">
      <c r="A40" s="2" t="inlineStr">
        <is>
          <t>360/079/BPBD-KOTA/I/2025</t>
        </is>
      </c>
      <c r="B40" s="2" t="n">
        <v>2025</v>
      </c>
      <c r="C40" s="5" t="n">
        <v>45672</v>
      </c>
      <c r="D40" s="3" t="inlineStr">
        <is>
          <t>Kota Depok</t>
        </is>
      </c>
      <c r="E40" s="2" t="inlineStr">
        <is>
          <t>Logistik Lainnya</t>
        </is>
      </c>
      <c r="F40" s="3" t="inlineStr">
        <is>
          <t>Family Kit</t>
        </is>
      </c>
      <c r="G40" s="4" t="n">
        <v>880</v>
      </c>
      <c r="H40" s="4" t="n">
        <v>350000</v>
      </c>
      <c r="I40" s="4" t="n">
        <v>308000000</v>
      </c>
    </row>
    <row r="41" ht="20" customHeight="1">
      <c r="A41" s="7" t="inlineStr">
        <is>
          <t>360/080/BPBD-KOTA/I/2025</t>
        </is>
      </c>
      <c r="B41" s="7" t="n">
        <v>2025</v>
      </c>
      <c r="C41" s="10" t="n">
        <v>45672</v>
      </c>
      <c r="D41" s="8" t="inlineStr">
        <is>
          <t>Kota Depok</t>
        </is>
      </c>
      <c r="E41" s="7" t="inlineStr">
        <is>
          <t>Pangan</t>
        </is>
      </c>
      <c r="F41" s="8" t="inlineStr">
        <is>
          <t>Biskuit</t>
        </is>
      </c>
      <c r="G41" s="9" t="n">
        <v>1790</v>
      </c>
      <c r="H41" s="9" t="n">
        <v>25000</v>
      </c>
      <c r="I41" s="9" t="n">
        <v>44750000</v>
      </c>
    </row>
    <row r="42" ht="20" customHeight="1">
      <c r="A42" s="2" t="inlineStr">
        <is>
          <t>360/082/BPBD-KOTA/I/2025</t>
        </is>
      </c>
      <c r="B42" s="2" t="n">
        <v>2025</v>
      </c>
      <c r="C42" s="5" t="n">
        <v>45677</v>
      </c>
      <c r="D42" s="3" t="inlineStr">
        <is>
          <t>Kota Sukabumi</t>
        </is>
      </c>
      <c r="E42" s="2" t="inlineStr">
        <is>
          <t>Sandang</t>
        </is>
      </c>
      <c r="F42" s="3" t="inlineStr">
        <is>
          <t>Matras</t>
        </is>
      </c>
      <c r="G42" s="4" t="n">
        <v>440</v>
      </c>
      <c r="H42" s="4" t="n">
        <v>120000</v>
      </c>
      <c r="I42" s="4" t="n">
        <v>52800000</v>
      </c>
    </row>
    <row r="43" ht="20" customHeight="1">
      <c r="A43" s="7" t="inlineStr">
        <is>
          <t>360/085/BPBD-KOTA/I/2025</t>
        </is>
      </c>
      <c r="B43" s="7" t="n">
        <v>2025</v>
      </c>
      <c r="C43" s="10" t="n">
        <v>45680</v>
      </c>
      <c r="D43" s="8" t="inlineStr">
        <is>
          <t>Kota Tasikmalaya</t>
        </is>
      </c>
      <c r="E43" s="7" t="inlineStr">
        <is>
          <t>Pangan</t>
        </is>
      </c>
      <c r="F43" s="8" t="inlineStr">
        <is>
          <t>Beras</t>
        </is>
      </c>
      <c r="G43" s="9" t="n">
        <v>340</v>
      </c>
      <c r="H43" s="9" t="n">
        <v>15000</v>
      </c>
      <c r="I43" s="9" t="n">
        <v>5100000</v>
      </c>
    </row>
    <row r="44" ht="20" customHeight="1">
      <c r="A44" s="2" t="inlineStr">
        <is>
          <t>360/086/BPBD-KOTA/I/2025</t>
        </is>
      </c>
      <c r="B44" s="2" t="n">
        <v>2025</v>
      </c>
      <c r="C44" s="5" t="n">
        <v>45681</v>
      </c>
      <c r="D44" s="3" t="inlineStr">
        <is>
          <t>Kota Tasikmalaya</t>
        </is>
      </c>
      <c r="E44" s="2" t="inlineStr">
        <is>
          <t>Sandang</t>
        </is>
      </c>
      <c r="F44" s="3" t="inlineStr">
        <is>
          <t>Selimut</t>
        </is>
      </c>
      <c r="G44" s="4" t="n">
        <v>340</v>
      </c>
      <c r="H44" s="4" t="n">
        <v>85000</v>
      </c>
      <c r="I44" s="4" t="n">
        <v>28900000</v>
      </c>
    </row>
    <row r="45" ht="20" customHeight="1">
      <c r="A45" s="7" t="inlineStr">
        <is>
          <t>360/003/BPBD-KAB/I/2026</t>
        </is>
      </c>
      <c r="B45" s="7" t="n">
        <v>2026</v>
      </c>
      <c r="C45" s="10" t="n">
        <v>46039</v>
      </c>
      <c r="D45" s="8" t="inlineStr">
        <is>
          <t>Kabupaten Bandung</t>
        </is>
      </c>
      <c r="E45" s="7" t="inlineStr">
        <is>
          <t>Pangan</t>
        </is>
      </c>
      <c r="F45" s="8" t="inlineStr">
        <is>
          <t>Makanan Siap Saji</t>
        </is>
      </c>
      <c r="G45" s="9" t="n">
        <v>760</v>
      </c>
      <c r="H45" s="9" t="n">
        <v>45000</v>
      </c>
      <c r="I45" s="9" t="n">
        <v>34200000</v>
      </c>
    </row>
    <row r="46" ht="20" customHeight="1">
      <c r="A46" s="2" t="inlineStr">
        <is>
          <t>360/004/BPBD-KAB/I/2026</t>
        </is>
      </c>
      <c r="B46" s="2" t="n">
        <v>2026</v>
      </c>
      <c r="C46" s="5" t="n">
        <v>46045</v>
      </c>
      <c r="D46" s="3" t="inlineStr">
        <is>
          <t>Kabupaten Bandung</t>
        </is>
      </c>
      <c r="E46" s="2" t="inlineStr">
        <is>
          <t>Logistik Lainnya</t>
        </is>
      </c>
      <c r="F46" s="3" t="inlineStr">
        <is>
          <t>Family Kit</t>
        </is>
      </c>
      <c r="G46" s="4" t="n">
        <v>740</v>
      </c>
      <c r="H46" s="4" t="n">
        <v>350000</v>
      </c>
      <c r="I46" s="4" t="n">
        <v>259000000</v>
      </c>
    </row>
    <row r="47" ht="20" customHeight="1">
      <c r="A47" s="7" t="inlineStr">
        <is>
          <t>360/008/BPBD-KAB/I/2026</t>
        </is>
      </c>
      <c r="B47" s="7" t="n">
        <v>2026</v>
      </c>
      <c r="C47" s="10" t="n">
        <v>46037</v>
      </c>
      <c r="D47" s="8" t="inlineStr">
        <is>
          <t>Kabupaten Bekasi</t>
        </is>
      </c>
      <c r="E47" s="7" t="inlineStr">
        <is>
          <t>Papan</t>
        </is>
      </c>
      <c r="F47" s="8" t="inlineStr">
        <is>
          <t>Tenda Keluarga</t>
        </is>
      </c>
      <c r="G47" s="9" t="n">
        <v>120</v>
      </c>
      <c r="H47" s="9" t="n">
        <v>3200000</v>
      </c>
      <c r="I47" s="9" t="n">
        <v>384000000</v>
      </c>
    </row>
    <row r="48" ht="20" customHeight="1">
      <c r="A48" s="2" t="inlineStr">
        <is>
          <t>360/010/BPBD-KAB/I/2026</t>
        </is>
      </c>
      <c r="B48" s="2" t="n">
        <v>2026</v>
      </c>
      <c r="C48" s="5" t="n">
        <v>46040</v>
      </c>
      <c r="D48" s="3" t="inlineStr">
        <is>
          <t>Kabupaten Bogor</t>
        </is>
      </c>
      <c r="E48" s="2" t="inlineStr">
        <is>
          <t>Pangan</t>
        </is>
      </c>
      <c r="F48" s="3" t="inlineStr">
        <is>
          <t>Air Mineral</t>
        </is>
      </c>
      <c r="G48" s="4" t="n">
        <v>4150</v>
      </c>
      <c r="H48" s="4" t="n">
        <v>30000</v>
      </c>
      <c r="I48" s="4" t="n">
        <v>124500000</v>
      </c>
    </row>
    <row r="49" ht="20" customHeight="1">
      <c r="A49" s="7" t="inlineStr">
        <is>
          <t>360/011/BPBD-KAB/I/2026</t>
        </is>
      </c>
      <c r="B49" s="7" t="n">
        <v>2026</v>
      </c>
      <c r="C49" s="10" t="n">
        <v>46047</v>
      </c>
      <c r="D49" s="8" t="inlineStr">
        <is>
          <t>Kabupaten Ciamis</t>
        </is>
      </c>
      <c r="E49" s="7" t="inlineStr">
        <is>
          <t>Papan</t>
        </is>
      </c>
      <c r="F49" s="8" t="inlineStr">
        <is>
          <t>Terpal</t>
        </is>
      </c>
      <c r="G49" s="9" t="n">
        <v>750</v>
      </c>
      <c r="H49" s="9" t="n">
        <v>150000</v>
      </c>
      <c r="I49" s="9" t="n">
        <v>112500000</v>
      </c>
    </row>
    <row r="50" ht="20" customHeight="1">
      <c r="A50" s="2" t="inlineStr">
        <is>
          <t>360/014/BPBD-KAB/I/2026</t>
        </is>
      </c>
      <c r="B50" s="2" t="n">
        <v>2026</v>
      </c>
      <c r="C50" s="5" t="n">
        <v>46046</v>
      </c>
      <c r="D50" s="3" t="inlineStr">
        <is>
          <t>Kabupaten Ciamis</t>
        </is>
      </c>
      <c r="E50" s="2" t="inlineStr">
        <is>
          <t>Pangan</t>
        </is>
      </c>
      <c r="F50" s="3" t="inlineStr">
        <is>
          <t>Makanan Siap Saji</t>
        </is>
      </c>
      <c r="G50" s="4" t="n">
        <v>240</v>
      </c>
      <c r="H50" s="4" t="n">
        <v>45000</v>
      </c>
      <c r="I50" s="4" t="n">
        <v>10800000</v>
      </c>
    </row>
    <row r="51" ht="20" customHeight="1">
      <c r="A51" s="7" t="inlineStr">
        <is>
          <t>360/015/BPBD-KAB/I/2026</t>
        </is>
      </c>
      <c r="B51" s="7" t="n">
        <v>2026</v>
      </c>
      <c r="C51" s="10" t="n">
        <v>46045</v>
      </c>
      <c r="D51" s="8" t="inlineStr">
        <is>
          <t>Kabupaten Ciamis</t>
        </is>
      </c>
      <c r="E51" s="7" t="inlineStr">
        <is>
          <t>Logistik Lainnya</t>
        </is>
      </c>
      <c r="F51" s="8" t="inlineStr">
        <is>
          <t>Family Kit</t>
        </is>
      </c>
      <c r="G51" s="9" t="n">
        <v>230</v>
      </c>
      <c r="H51" s="9" t="n">
        <v>350000</v>
      </c>
      <c r="I51" s="9" t="n">
        <v>80500000</v>
      </c>
    </row>
    <row r="52" ht="20" customHeight="1">
      <c r="A52" s="2" t="inlineStr">
        <is>
          <t>360/018/BPBD-KAB/I/2026</t>
        </is>
      </c>
      <c r="B52" s="2" t="n">
        <v>2026</v>
      </c>
      <c r="C52" s="5" t="n">
        <v>46037</v>
      </c>
      <c r="D52" s="3" t="inlineStr">
        <is>
          <t>Kabupaten Cianjur</t>
        </is>
      </c>
      <c r="E52" s="2" t="inlineStr">
        <is>
          <t>Pangan</t>
        </is>
      </c>
      <c r="F52" s="3" t="inlineStr">
        <is>
          <t>Makanan Siap Saji</t>
        </is>
      </c>
      <c r="G52" s="4" t="n">
        <v>750</v>
      </c>
      <c r="H52" s="4" t="n">
        <v>45000</v>
      </c>
      <c r="I52" s="4" t="n">
        <v>33750000</v>
      </c>
    </row>
    <row r="53" ht="20" customHeight="1">
      <c r="A53" s="7" t="inlineStr">
        <is>
          <t>360/019/BPBD-KAB/I/2026</t>
        </is>
      </c>
      <c r="B53" s="7" t="n">
        <v>2026</v>
      </c>
      <c r="C53" s="10" t="n">
        <v>46047</v>
      </c>
      <c r="D53" s="8" t="inlineStr">
        <is>
          <t>Kabupaten Cianjur</t>
        </is>
      </c>
      <c r="E53" s="7" t="inlineStr">
        <is>
          <t>Logistik Lainnya</t>
        </is>
      </c>
      <c r="F53" s="8" t="inlineStr">
        <is>
          <t>Family Kit</t>
        </is>
      </c>
      <c r="G53" s="9" t="n">
        <v>750</v>
      </c>
      <c r="H53" s="9" t="n">
        <v>350000</v>
      </c>
      <c r="I53" s="9" t="n">
        <v>262500000</v>
      </c>
    </row>
    <row r="54" ht="20" customHeight="1">
      <c r="A54" s="2" t="inlineStr">
        <is>
          <t>360/021/BPBD-KAB/I/2026</t>
        </is>
      </c>
      <c r="B54" s="2" t="n">
        <v>2026</v>
      </c>
      <c r="C54" s="5" t="n">
        <v>46040</v>
      </c>
      <c r="D54" s="3" t="inlineStr">
        <is>
          <t>Kabupaten Cirebon</t>
        </is>
      </c>
      <c r="E54" s="2" t="inlineStr">
        <is>
          <t>Papan</t>
        </is>
      </c>
      <c r="F54" s="3" t="inlineStr">
        <is>
          <t>Terpal</t>
        </is>
      </c>
      <c r="G54" s="4" t="n">
        <v>360</v>
      </c>
      <c r="H54" s="4" t="n">
        <v>150000</v>
      </c>
      <c r="I54" s="4" t="n">
        <v>54000000</v>
      </c>
    </row>
    <row r="55" ht="20" customHeight="1">
      <c r="A55" s="7" t="inlineStr">
        <is>
          <t>360/023/BPBD-KAB/I/2026</t>
        </is>
      </c>
      <c r="B55" s="7" t="n">
        <v>2026</v>
      </c>
      <c r="C55" s="10" t="n">
        <v>46042</v>
      </c>
      <c r="D55" s="8" t="inlineStr">
        <is>
          <t>Kabupaten Garut</t>
        </is>
      </c>
      <c r="E55" s="7" t="inlineStr">
        <is>
          <t>Pangan</t>
        </is>
      </c>
      <c r="F55" s="8" t="inlineStr">
        <is>
          <t>Air Mineral</t>
        </is>
      </c>
      <c r="G55" s="9" t="n">
        <v>3200</v>
      </c>
      <c r="H55" s="9" t="n">
        <v>30000</v>
      </c>
      <c r="I55" s="9" t="n">
        <v>96000000</v>
      </c>
    </row>
    <row r="56" ht="20" customHeight="1">
      <c r="A56" s="2" t="inlineStr">
        <is>
          <t>360/028/BPBD-KAB/I/2026</t>
        </is>
      </c>
      <c r="B56" s="2" t="n">
        <v>2026</v>
      </c>
      <c r="C56" s="5" t="n">
        <v>46044</v>
      </c>
      <c r="D56" s="3" t="inlineStr">
        <is>
          <t>Kabupaten Karawang</t>
        </is>
      </c>
      <c r="E56" s="2" t="inlineStr">
        <is>
          <t>Sandang</t>
        </is>
      </c>
      <c r="F56" s="3" t="inlineStr">
        <is>
          <t>Pakaian Anak</t>
        </is>
      </c>
      <c r="G56" s="4" t="n">
        <v>230</v>
      </c>
      <c r="H56" s="4" t="n">
        <v>75000</v>
      </c>
      <c r="I56" s="4" t="n">
        <v>17250000</v>
      </c>
    </row>
    <row r="57" ht="20" customHeight="1">
      <c r="A57" s="7" t="inlineStr">
        <is>
          <t>360/031/BPBD-KAB/I/2026</t>
        </is>
      </c>
      <c r="B57" s="7" t="n">
        <v>2026</v>
      </c>
      <c r="C57" s="10" t="n">
        <v>46043</v>
      </c>
      <c r="D57" s="8" t="inlineStr">
        <is>
          <t>Kabupaten Kuningan</t>
        </is>
      </c>
      <c r="E57" s="7" t="inlineStr">
        <is>
          <t>Pangan</t>
        </is>
      </c>
      <c r="F57" s="8" t="inlineStr">
        <is>
          <t>Makanan Siap Saji</t>
        </is>
      </c>
      <c r="G57" s="9" t="n">
        <v>500</v>
      </c>
      <c r="H57" s="9" t="n">
        <v>45000</v>
      </c>
      <c r="I57" s="9" t="n">
        <v>22500000</v>
      </c>
    </row>
    <row r="58" ht="20" customHeight="1">
      <c r="A58" s="2" t="inlineStr">
        <is>
          <t>360/032/BPBD-KAB/I/2026</t>
        </is>
      </c>
      <c r="B58" s="2" t="n">
        <v>2026</v>
      </c>
      <c r="C58" s="5" t="n">
        <v>46040</v>
      </c>
      <c r="D58" s="3" t="inlineStr">
        <is>
          <t>Kabupaten Kuningan</t>
        </is>
      </c>
      <c r="E58" s="2" t="inlineStr">
        <is>
          <t>Logistik Lainnya</t>
        </is>
      </c>
      <c r="F58" s="3" t="inlineStr">
        <is>
          <t>Family Kit</t>
        </is>
      </c>
      <c r="G58" s="4" t="n">
        <v>500</v>
      </c>
      <c r="H58" s="4" t="n">
        <v>350000</v>
      </c>
      <c r="I58" s="4" t="n">
        <v>175000000</v>
      </c>
    </row>
    <row r="59" ht="20" customHeight="1">
      <c r="A59" s="7" t="inlineStr">
        <is>
          <t>360/034/BPBD-KAB/I/2026</t>
        </is>
      </c>
      <c r="B59" s="7" t="n">
        <v>2026</v>
      </c>
      <c r="C59" s="10" t="n">
        <v>46041</v>
      </c>
      <c r="D59" s="8" t="inlineStr">
        <is>
          <t>Kabupaten Majalengka</t>
        </is>
      </c>
      <c r="E59" s="7" t="inlineStr">
        <is>
          <t>Sandang</t>
        </is>
      </c>
      <c r="F59" s="8" t="inlineStr">
        <is>
          <t>Matras</t>
        </is>
      </c>
      <c r="G59" s="9" t="n">
        <v>1030</v>
      </c>
      <c r="H59" s="9" t="n">
        <v>120000</v>
      </c>
      <c r="I59" s="9" t="n">
        <v>123600000</v>
      </c>
    </row>
    <row r="60" ht="20" customHeight="1">
      <c r="A60" s="2" t="inlineStr">
        <is>
          <t>360/035/BPBD-KAB/I/2026</t>
        </is>
      </c>
      <c r="B60" s="2" t="n">
        <v>2026</v>
      </c>
      <c r="C60" s="5" t="n">
        <v>46047</v>
      </c>
      <c r="D60" s="3" t="inlineStr">
        <is>
          <t>Kabupaten Majalengka</t>
        </is>
      </c>
      <c r="E60" s="2" t="inlineStr">
        <is>
          <t>Logistik Lainnya</t>
        </is>
      </c>
      <c r="F60" s="3" t="inlineStr">
        <is>
          <t>Chainsaw</t>
        </is>
      </c>
      <c r="G60" s="4" t="n">
        <v>50</v>
      </c>
      <c r="H60" s="4" t="n">
        <v>4500000</v>
      </c>
      <c r="I60" s="4" t="n">
        <v>225000000</v>
      </c>
    </row>
    <row r="61" ht="20" customHeight="1">
      <c r="A61" s="7" t="inlineStr">
        <is>
          <t>360/036/BPBD-KAB/I/2026</t>
        </is>
      </c>
      <c r="B61" s="7" t="n">
        <v>2026</v>
      </c>
      <c r="C61" s="10" t="n">
        <v>46041</v>
      </c>
      <c r="D61" s="8" t="inlineStr">
        <is>
          <t>Kabupaten Majalengka</t>
        </is>
      </c>
      <c r="E61" s="7" t="inlineStr">
        <is>
          <t>Papan</t>
        </is>
      </c>
      <c r="F61" s="8" t="inlineStr">
        <is>
          <t>Tenda Keluarga</t>
        </is>
      </c>
      <c r="G61" s="9" t="n">
        <v>190</v>
      </c>
      <c r="H61" s="9" t="n">
        <v>3200000</v>
      </c>
      <c r="I61" s="9" t="n">
        <v>608000000</v>
      </c>
    </row>
    <row r="62" ht="20" customHeight="1">
      <c r="A62" s="2" t="inlineStr">
        <is>
          <t>360/037/BPBD-KAB/I/2026</t>
        </is>
      </c>
      <c r="B62" s="2" t="n">
        <v>2026</v>
      </c>
      <c r="C62" s="5" t="n">
        <v>46042</v>
      </c>
      <c r="D62" s="3" t="inlineStr">
        <is>
          <t>Kabupaten Pangandaran</t>
        </is>
      </c>
      <c r="E62" s="2" t="inlineStr">
        <is>
          <t>Pangan</t>
        </is>
      </c>
      <c r="F62" s="3" t="inlineStr">
        <is>
          <t>Biskuit</t>
        </is>
      </c>
      <c r="G62" s="4" t="n">
        <v>1560</v>
      </c>
      <c r="H62" s="4" t="n">
        <v>25000</v>
      </c>
      <c r="I62" s="4" t="n">
        <v>39000000</v>
      </c>
    </row>
    <row r="63" ht="20" customHeight="1">
      <c r="A63" s="7" t="inlineStr">
        <is>
          <t>360/038/BPBD-KAB/I/2026</t>
        </is>
      </c>
      <c r="B63" s="7" t="n">
        <v>2026</v>
      </c>
      <c r="C63" s="10" t="n">
        <v>46043</v>
      </c>
      <c r="D63" s="8" t="inlineStr">
        <is>
          <t>Kabupaten Purwakarta</t>
        </is>
      </c>
      <c r="E63" s="7" t="inlineStr">
        <is>
          <t>Sandang</t>
        </is>
      </c>
      <c r="F63" s="8" t="inlineStr">
        <is>
          <t>Pakaian Anak</t>
        </is>
      </c>
      <c r="G63" s="9" t="n">
        <v>1550</v>
      </c>
      <c r="H63" s="9" t="n">
        <v>75000</v>
      </c>
      <c r="I63" s="9" t="n">
        <v>116250000</v>
      </c>
    </row>
    <row r="64" ht="20" customHeight="1">
      <c r="A64" s="2" t="inlineStr">
        <is>
          <t>360/041/BPBD-KAB/I/2026</t>
        </is>
      </c>
      <c r="B64" s="2" t="n">
        <v>2026</v>
      </c>
      <c r="C64" s="5" t="n">
        <v>46037</v>
      </c>
      <c r="D64" s="3" t="inlineStr">
        <is>
          <t>Kabupaten Subang</t>
        </is>
      </c>
      <c r="E64" s="2" t="inlineStr">
        <is>
          <t>Pangan</t>
        </is>
      </c>
      <c r="F64" s="3" t="inlineStr">
        <is>
          <t>Makanan Siap Saji</t>
        </is>
      </c>
      <c r="G64" s="4" t="n">
        <v>2410</v>
      </c>
      <c r="H64" s="4" t="n">
        <v>45000</v>
      </c>
      <c r="I64" s="4" t="n">
        <v>108450000</v>
      </c>
    </row>
    <row r="65" ht="20" customHeight="1">
      <c r="A65" s="7" t="inlineStr">
        <is>
          <t>360/044/BPBD-KAB/I/2026</t>
        </is>
      </c>
      <c r="B65" s="7" t="n">
        <v>2026</v>
      </c>
      <c r="C65" s="10" t="n">
        <v>46037</v>
      </c>
      <c r="D65" s="8" t="inlineStr">
        <is>
          <t>Kabupaten Subang</t>
        </is>
      </c>
      <c r="E65" s="7" t="inlineStr">
        <is>
          <t>Logistik Lainnya</t>
        </is>
      </c>
      <c r="F65" s="8" t="inlineStr">
        <is>
          <t>Family Kit</t>
        </is>
      </c>
      <c r="G65" s="9" t="n">
        <v>10</v>
      </c>
      <c r="H65" s="9" t="n">
        <v>350000</v>
      </c>
      <c r="I65" s="9" t="n">
        <v>3500000</v>
      </c>
    </row>
    <row r="66" ht="20" customHeight="1">
      <c r="A66" s="2" t="inlineStr">
        <is>
          <t>360/047/BPBD-KAB/I/2026</t>
        </is>
      </c>
      <c r="B66" s="2" t="n">
        <v>2026</v>
      </c>
      <c r="C66" s="5" t="n">
        <v>46039</v>
      </c>
      <c r="D66" s="3" t="inlineStr">
        <is>
          <t>Kabupaten Sukabumi</t>
        </is>
      </c>
      <c r="E66" s="2" t="inlineStr">
        <is>
          <t>Sandang</t>
        </is>
      </c>
      <c r="F66" s="3" t="inlineStr">
        <is>
          <t>Matras</t>
        </is>
      </c>
      <c r="G66" s="4" t="n">
        <v>440</v>
      </c>
      <c r="H66" s="4" t="n">
        <v>120000</v>
      </c>
      <c r="I66" s="4" t="n">
        <v>52800000</v>
      </c>
    </row>
    <row r="67" ht="20" customHeight="1">
      <c r="A67" s="7" t="inlineStr">
        <is>
          <t>360/050/BPBD-KAB/I/2026</t>
        </is>
      </c>
      <c r="B67" s="7" t="n">
        <v>2026</v>
      </c>
      <c r="C67" s="10" t="n">
        <v>46039</v>
      </c>
      <c r="D67" s="8" t="inlineStr">
        <is>
          <t>Kabupaten Sumedang</t>
        </is>
      </c>
      <c r="E67" s="7" t="inlineStr">
        <is>
          <t>Pangan</t>
        </is>
      </c>
      <c r="F67" s="8" t="inlineStr">
        <is>
          <t>Makanan Siap Saji</t>
        </is>
      </c>
      <c r="G67" s="9" t="n">
        <v>480</v>
      </c>
      <c r="H67" s="9" t="n">
        <v>45000</v>
      </c>
      <c r="I67" s="9" t="n">
        <v>21600000</v>
      </c>
    </row>
    <row r="68" ht="20" customHeight="1">
      <c r="A68" s="2" t="inlineStr">
        <is>
          <t>360/051/BPBD-KAB/I/2026</t>
        </is>
      </c>
      <c r="B68" s="2" t="n">
        <v>2026</v>
      </c>
      <c r="C68" s="5" t="n">
        <v>46047</v>
      </c>
      <c r="D68" s="3" t="inlineStr">
        <is>
          <t>Kabupaten Sumedang</t>
        </is>
      </c>
      <c r="E68" s="2" t="inlineStr">
        <is>
          <t>Logistik Lainnya</t>
        </is>
      </c>
      <c r="F68" s="3" t="inlineStr">
        <is>
          <t>Family Kit</t>
        </is>
      </c>
      <c r="G68" s="4" t="n">
        <v>460</v>
      </c>
      <c r="H68" s="4" t="n">
        <v>350000</v>
      </c>
      <c r="I68" s="4" t="n">
        <v>161000000</v>
      </c>
    </row>
    <row r="69" ht="20" customHeight="1">
      <c r="A69" s="7" t="inlineStr">
        <is>
          <t>360/052/BPBD-KAB/I/2026</t>
        </is>
      </c>
      <c r="B69" s="7" t="n">
        <v>2026</v>
      </c>
      <c r="C69" s="10" t="n">
        <v>46040</v>
      </c>
      <c r="D69" s="8" t="inlineStr">
        <is>
          <t>Kabupaten Tasikmalaya</t>
        </is>
      </c>
      <c r="E69" s="7" t="inlineStr">
        <is>
          <t>Sandang</t>
        </is>
      </c>
      <c r="F69" s="8" t="inlineStr">
        <is>
          <t>Selimut</t>
        </is>
      </c>
      <c r="G69" s="9" t="n">
        <v>990</v>
      </c>
      <c r="H69" s="9" t="n">
        <v>85000</v>
      </c>
      <c r="I69" s="9" t="n">
        <v>84150000</v>
      </c>
    </row>
    <row r="70" ht="20" customHeight="1">
      <c r="A70" s="2" t="inlineStr">
        <is>
          <t>360/053/BPBD-KAB/I/2026</t>
        </is>
      </c>
      <c r="B70" s="2" t="n">
        <v>2026</v>
      </c>
      <c r="C70" s="5" t="n">
        <v>46041</v>
      </c>
      <c r="D70" s="3" t="inlineStr">
        <is>
          <t>Kabupaten Tasikmalaya</t>
        </is>
      </c>
      <c r="E70" s="2" t="inlineStr">
        <is>
          <t>Sandang</t>
        </is>
      </c>
      <c r="F70" s="3" t="inlineStr">
        <is>
          <t>Pakaian Dewasa</t>
        </is>
      </c>
      <c r="G70" s="4" t="n">
        <v>910</v>
      </c>
      <c r="H70" s="4" t="n">
        <v>95000</v>
      </c>
      <c r="I70" s="4" t="n">
        <v>86450000</v>
      </c>
    </row>
    <row r="71" ht="20" customHeight="1">
      <c r="A71" s="7" t="inlineStr">
        <is>
          <t>360/055/BPBD-KOTA/I/2026</t>
        </is>
      </c>
      <c r="B71" s="7" t="n">
        <v>2026</v>
      </c>
      <c r="C71" s="10" t="n">
        <v>46044</v>
      </c>
      <c r="D71" s="8" t="inlineStr">
        <is>
          <t>Kota Bandung</t>
        </is>
      </c>
      <c r="E71" s="7" t="inlineStr">
        <is>
          <t>Logistik Lainnya</t>
        </is>
      </c>
      <c r="F71" s="8" t="inlineStr">
        <is>
          <t>Chainsaw</t>
        </is>
      </c>
      <c r="G71" s="9" t="n">
        <v>20</v>
      </c>
      <c r="H71" s="9" t="n">
        <v>4500000</v>
      </c>
      <c r="I71" s="9" t="n">
        <v>90000000</v>
      </c>
    </row>
    <row r="72" ht="20" customHeight="1">
      <c r="A72" s="2" t="inlineStr">
        <is>
          <t>360/058/BPBD-KOTA/I/2026</t>
        </is>
      </c>
      <c r="B72" s="2" t="n">
        <v>2026</v>
      </c>
      <c r="C72" s="5" t="n">
        <v>46044</v>
      </c>
      <c r="D72" s="3" t="inlineStr">
        <is>
          <t>Kota Bandung</t>
        </is>
      </c>
      <c r="E72" s="2" t="inlineStr">
        <is>
          <t>Pangan</t>
        </is>
      </c>
      <c r="F72" s="3" t="inlineStr">
        <is>
          <t>Makanan Siap Saji</t>
        </is>
      </c>
      <c r="G72" s="4" t="n">
        <v>0</v>
      </c>
      <c r="H72" s="4" t="n">
        <v>45000</v>
      </c>
      <c r="I72" s="4" t="n">
        <v>0</v>
      </c>
    </row>
    <row r="73" ht="20" customHeight="1">
      <c r="A73" s="7" t="inlineStr">
        <is>
          <t>360/059/BPBD-KOTA/I/2026</t>
        </is>
      </c>
      <c r="B73" s="7" t="n">
        <v>2026</v>
      </c>
      <c r="C73" s="10" t="n">
        <v>46045</v>
      </c>
      <c r="D73" s="8" t="inlineStr">
        <is>
          <t>Kota Bandung</t>
        </is>
      </c>
      <c r="E73" s="7" t="inlineStr">
        <is>
          <t>Logistik Lainnya</t>
        </is>
      </c>
      <c r="F73" s="8" t="inlineStr">
        <is>
          <t>Family Kit</t>
        </is>
      </c>
      <c r="G73" s="9" t="n">
        <v>10</v>
      </c>
      <c r="H73" s="9" t="n">
        <v>350000</v>
      </c>
      <c r="I73" s="9" t="n">
        <v>3500000</v>
      </c>
    </row>
    <row r="74" ht="20" customHeight="1">
      <c r="A74" s="2" t="inlineStr">
        <is>
          <t>360/061/BPBD-KOTA/I/2026</t>
        </is>
      </c>
      <c r="B74" s="2" t="n">
        <v>2026</v>
      </c>
      <c r="C74" s="5" t="n">
        <v>46046</v>
      </c>
      <c r="D74" s="3" t="inlineStr">
        <is>
          <t>Kota Banjar</t>
        </is>
      </c>
      <c r="E74" s="2" t="inlineStr">
        <is>
          <t>Logistik Lainnya</t>
        </is>
      </c>
      <c r="F74" s="3" t="inlineStr">
        <is>
          <t>Perahu Karet</t>
        </is>
      </c>
      <c r="G74" s="4" t="n">
        <v>0</v>
      </c>
      <c r="H74" s="4" t="n">
        <v>35000000</v>
      </c>
      <c r="I74" s="4" t="n">
        <v>0</v>
      </c>
    </row>
    <row r="75" ht="20" customHeight="1">
      <c r="A75" s="7" t="inlineStr">
        <is>
          <t>360/062/BPBD-KOTA/I/2026</t>
        </is>
      </c>
      <c r="B75" s="7" t="n">
        <v>2026</v>
      </c>
      <c r="C75" s="10" t="n">
        <v>46039</v>
      </c>
      <c r="D75" s="8" t="inlineStr">
        <is>
          <t>Kota Banjar</t>
        </is>
      </c>
      <c r="E75" s="7" t="inlineStr">
        <is>
          <t>Sandang</t>
        </is>
      </c>
      <c r="F75" s="8" t="inlineStr">
        <is>
          <t>Pakaian Dewasa</t>
        </is>
      </c>
      <c r="G75" s="9" t="n">
        <v>1290</v>
      </c>
      <c r="H75" s="9" t="n">
        <v>95000</v>
      </c>
      <c r="I75" s="9" t="n">
        <v>122550000</v>
      </c>
    </row>
    <row r="76" ht="20" customHeight="1">
      <c r="A76" s="2" t="inlineStr">
        <is>
          <t>360/065/BPBD-KOTA/I/2026</t>
        </is>
      </c>
      <c r="B76" s="2" t="n">
        <v>2026</v>
      </c>
      <c r="C76" s="5" t="n">
        <v>46037</v>
      </c>
      <c r="D76" s="3" t="inlineStr">
        <is>
          <t>Kota Banjar</t>
        </is>
      </c>
      <c r="E76" s="2" t="inlineStr">
        <is>
          <t>Pangan</t>
        </is>
      </c>
      <c r="F76" s="3" t="inlineStr">
        <is>
          <t>Makanan Siap Saji</t>
        </is>
      </c>
      <c r="G76" s="4" t="n">
        <v>0</v>
      </c>
      <c r="H76" s="4" t="n">
        <v>45000</v>
      </c>
      <c r="I76" s="4" t="n">
        <v>0</v>
      </c>
    </row>
    <row r="77" ht="20" customHeight="1">
      <c r="A77" s="7" t="inlineStr">
        <is>
          <t>360/066/BPBD-KOTA/I/2026</t>
        </is>
      </c>
      <c r="B77" s="7" t="n">
        <v>2026</v>
      </c>
      <c r="C77" s="10" t="n">
        <v>46038</v>
      </c>
      <c r="D77" s="8" t="inlineStr">
        <is>
          <t>Kota Banjar</t>
        </is>
      </c>
      <c r="E77" s="7" t="inlineStr">
        <is>
          <t>Logistik Lainnya</t>
        </is>
      </c>
      <c r="F77" s="8" t="inlineStr">
        <is>
          <t>Family Kit</t>
        </is>
      </c>
      <c r="G77" s="9" t="n">
        <v>10</v>
      </c>
      <c r="H77" s="9" t="n">
        <v>350000</v>
      </c>
      <c r="I77" s="9" t="n">
        <v>3500000</v>
      </c>
    </row>
    <row r="78" ht="20" customHeight="1">
      <c r="A78" s="2" t="inlineStr">
        <is>
          <t>360/067/BPBD-KOTA/I/2026</t>
        </is>
      </c>
      <c r="B78" s="2" t="n">
        <v>2026</v>
      </c>
      <c r="C78" s="5" t="n">
        <v>46038</v>
      </c>
      <c r="D78" s="3" t="inlineStr">
        <is>
          <t>Kota Bekasi</t>
        </is>
      </c>
      <c r="E78" s="2" t="inlineStr">
        <is>
          <t>Logistik Lainnya</t>
        </is>
      </c>
      <c r="F78" s="3" t="inlineStr">
        <is>
          <t>Chainsaw</t>
        </is>
      </c>
      <c r="G78" s="4" t="n">
        <v>150</v>
      </c>
      <c r="H78" s="4" t="n">
        <v>4500000</v>
      </c>
      <c r="I78" s="4" t="n">
        <v>675000000</v>
      </c>
    </row>
    <row r="79" ht="20" customHeight="1">
      <c r="A79" s="7" t="inlineStr">
        <is>
          <t>360/070/BPBD-KOTA/I/2026</t>
        </is>
      </c>
      <c r="B79" s="7" t="n">
        <v>2026</v>
      </c>
      <c r="C79" s="10" t="n">
        <v>46047</v>
      </c>
      <c r="D79" s="8" t="inlineStr">
        <is>
          <t>Kota Bekasi</t>
        </is>
      </c>
      <c r="E79" s="7" t="inlineStr">
        <is>
          <t>Pangan</t>
        </is>
      </c>
      <c r="F79" s="8" t="inlineStr">
        <is>
          <t>Makanan Siap Saji</t>
        </is>
      </c>
      <c r="G79" s="9" t="n">
        <v>340</v>
      </c>
      <c r="H79" s="9" t="n">
        <v>45000</v>
      </c>
      <c r="I79" s="9" t="n">
        <v>15300000</v>
      </c>
    </row>
    <row r="80" ht="20" customHeight="1">
      <c r="A80" s="2" t="inlineStr">
        <is>
          <t>360/071/BPBD-KOTA/I/2026</t>
        </is>
      </c>
      <c r="B80" s="2" t="n">
        <v>2026</v>
      </c>
      <c r="C80" s="5" t="n">
        <v>46042</v>
      </c>
      <c r="D80" s="3" t="inlineStr">
        <is>
          <t>Kota Bekasi</t>
        </is>
      </c>
      <c r="E80" s="2" t="inlineStr">
        <is>
          <t>Logistik Lainnya</t>
        </is>
      </c>
      <c r="F80" s="3" t="inlineStr">
        <is>
          <t>Family Kit</t>
        </is>
      </c>
      <c r="G80" s="4" t="n">
        <v>330</v>
      </c>
      <c r="H80" s="4" t="n">
        <v>350000</v>
      </c>
      <c r="I80" s="4" t="n">
        <v>115500000</v>
      </c>
    </row>
    <row r="81" ht="20" customHeight="1">
      <c r="A81" s="7" t="inlineStr">
        <is>
          <t>360/073/BPBD-KOTA/I/2026</t>
        </is>
      </c>
      <c r="B81" s="7" t="n">
        <v>2026</v>
      </c>
      <c r="C81" s="10" t="n">
        <v>46047</v>
      </c>
      <c r="D81" s="8" t="inlineStr">
        <is>
          <t>Kota Bogor</t>
        </is>
      </c>
      <c r="E81" s="7" t="inlineStr">
        <is>
          <t>Papan</t>
        </is>
      </c>
      <c r="F81" s="8" t="inlineStr">
        <is>
          <t>Seng</t>
        </is>
      </c>
      <c r="G81" s="9" t="n">
        <v>1000</v>
      </c>
      <c r="H81" s="9" t="n">
        <v>90000</v>
      </c>
      <c r="I81" s="9" t="n">
        <v>90000000</v>
      </c>
    </row>
    <row r="82" ht="20" customHeight="1">
      <c r="A82" s="2" t="inlineStr">
        <is>
          <t>360/074/BPBD-KOTA/I/2026</t>
        </is>
      </c>
      <c r="B82" s="2" t="n">
        <v>2026</v>
      </c>
      <c r="C82" s="5" t="n">
        <v>46042</v>
      </c>
      <c r="D82" s="3" t="inlineStr">
        <is>
          <t>Kota Bogor</t>
        </is>
      </c>
      <c r="E82" s="2" t="inlineStr">
        <is>
          <t>Papan</t>
        </is>
      </c>
      <c r="F82" s="3" t="inlineStr">
        <is>
          <t>Tenda Pengungsi</t>
        </is>
      </c>
      <c r="G82" s="4" t="n">
        <v>30</v>
      </c>
      <c r="H82" s="4" t="n">
        <v>8500000</v>
      </c>
      <c r="I82" s="4" t="n">
        <v>255000000</v>
      </c>
    </row>
    <row r="83" ht="20" customHeight="1">
      <c r="A83" s="7" t="inlineStr">
        <is>
          <t>360/076/BPBD-KOTA/I/2026</t>
        </is>
      </c>
      <c r="B83" s="7" t="n">
        <v>2026</v>
      </c>
      <c r="C83" s="10" t="n">
        <v>46045</v>
      </c>
      <c r="D83" s="8" t="inlineStr">
        <is>
          <t>Kota Cimahi</t>
        </is>
      </c>
      <c r="E83" s="7" t="inlineStr">
        <is>
          <t>Sandang</t>
        </is>
      </c>
      <c r="F83" s="8" t="inlineStr">
        <is>
          <t>Sarung</t>
        </is>
      </c>
      <c r="G83" s="9" t="n">
        <v>830</v>
      </c>
      <c r="H83" s="9" t="n">
        <v>60000</v>
      </c>
      <c r="I83" s="9" t="n">
        <v>49800000</v>
      </c>
    </row>
    <row r="84" ht="20" customHeight="1">
      <c r="A84" s="2" t="inlineStr">
        <is>
          <t>360/077/BPBD-KOTA/I/2026</t>
        </is>
      </c>
      <c r="B84" s="2" t="n">
        <v>2026</v>
      </c>
      <c r="C84" s="5" t="n">
        <v>46043</v>
      </c>
      <c r="D84" s="3" t="inlineStr">
        <is>
          <t>Kota Cimahi</t>
        </is>
      </c>
      <c r="E84" s="2" t="inlineStr">
        <is>
          <t>Pangan</t>
        </is>
      </c>
      <c r="F84" s="3" t="inlineStr">
        <is>
          <t>Biskuit</t>
        </is>
      </c>
      <c r="G84" s="4" t="n">
        <v>320</v>
      </c>
      <c r="H84" s="4" t="n">
        <v>25000</v>
      </c>
      <c r="I84" s="4" t="n">
        <v>8000000</v>
      </c>
    </row>
    <row r="85" ht="20" customHeight="1">
      <c r="A85" s="7" t="inlineStr">
        <is>
          <t>360/081/BPBD-KOTA/I/2026</t>
        </is>
      </c>
      <c r="B85" s="7" t="n">
        <v>2026</v>
      </c>
      <c r="C85" s="10" t="n">
        <v>46039</v>
      </c>
      <c r="D85" s="8" t="inlineStr">
        <is>
          <t>Kota Depok</t>
        </is>
      </c>
      <c r="E85" s="7" t="inlineStr">
        <is>
          <t>Sandang</t>
        </is>
      </c>
      <c r="F85" s="8" t="inlineStr">
        <is>
          <t>Sarung</t>
        </is>
      </c>
      <c r="G85" s="9" t="n">
        <v>210</v>
      </c>
      <c r="H85" s="9" t="n">
        <v>60000</v>
      </c>
      <c r="I85" s="9" t="n">
        <v>12600000</v>
      </c>
    </row>
    <row r="86" ht="20" customHeight="1">
      <c r="A86" s="2" t="inlineStr">
        <is>
          <t>360/083/BPBD-KOTA/I/2026</t>
        </is>
      </c>
      <c r="B86" s="2" t="n">
        <v>2026</v>
      </c>
      <c r="C86" s="5" t="n">
        <v>46042</v>
      </c>
      <c r="D86" s="3" t="inlineStr">
        <is>
          <t>Kota Sukabumi</t>
        </is>
      </c>
      <c r="E86" s="2" t="inlineStr">
        <is>
          <t>Pangan</t>
        </is>
      </c>
      <c r="F86" s="3" t="inlineStr">
        <is>
          <t>Biskuit</t>
        </is>
      </c>
      <c r="G86" s="4" t="n">
        <v>1320</v>
      </c>
      <c r="H86" s="4" t="n">
        <v>25000</v>
      </c>
      <c r="I86" s="4" t="n">
        <v>33000000</v>
      </c>
    </row>
    <row r="87" ht="20" customHeight="1">
      <c r="A87" s="7" t="inlineStr">
        <is>
          <t>360/084/BPBD-KOTA/I/2026</t>
        </is>
      </c>
      <c r="B87" s="7" t="n">
        <v>2026</v>
      </c>
      <c r="C87" s="10" t="n">
        <v>46045</v>
      </c>
      <c r="D87" s="8" t="inlineStr">
        <is>
          <t>Kota Tasikmalaya</t>
        </is>
      </c>
      <c r="E87" s="7" t="inlineStr">
        <is>
          <t>Logistik Lainnya</t>
        </is>
      </c>
      <c r="F87" s="8" t="inlineStr">
        <is>
          <t>Genset</t>
        </is>
      </c>
      <c r="G87" s="9" t="n">
        <v>50</v>
      </c>
      <c r="H87" s="9" t="n">
        <v>12500000</v>
      </c>
      <c r="I87" s="9" t="n">
        <v>625000000</v>
      </c>
    </row>
    <row r="88" ht="20" customHeight="1">
      <c r="A88" s="2" t="inlineStr">
        <is>
          <t>360/087/BPBD-KOTA/I/2026</t>
        </is>
      </c>
      <c r="B88" s="2" t="n">
        <v>2026</v>
      </c>
      <c r="C88" s="5" t="n">
        <v>46040</v>
      </c>
      <c r="D88" s="3" t="inlineStr">
        <is>
          <t>Kota Tasikmalaya</t>
        </is>
      </c>
      <c r="E88" s="2" t="inlineStr">
        <is>
          <t>Pangan</t>
        </is>
      </c>
      <c r="F88" s="3" t="inlineStr">
        <is>
          <t>Makanan Siap Saji</t>
        </is>
      </c>
      <c r="G88" s="4" t="n">
        <v>340</v>
      </c>
      <c r="H88" s="4" t="n">
        <v>45000</v>
      </c>
      <c r="I88" s="4" t="n">
        <v>15300000</v>
      </c>
    </row>
    <row r="89" ht="20" customHeight="1">
      <c r="A89" s="7" t="inlineStr">
        <is>
          <t>360/088/BPBD-KOTA/I/2026</t>
        </is>
      </c>
      <c r="B89" s="7" t="n">
        <v>2026</v>
      </c>
      <c r="C89" s="10" t="n">
        <v>46044</v>
      </c>
      <c r="D89" s="8" t="inlineStr">
        <is>
          <t>Kota Tasikmalaya</t>
        </is>
      </c>
      <c r="E89" s="7" t="inlineStr">
        <is>
          <t>Logistik Lainnya</t>
        </is>
      </c>
      <c r="F89" s="8" t="inlineStr">
        <is>
          <t>Family Kit</t>
        </is>
      </c>
      <c r="G89" s="9" t="n">
        <v>330</v>
      </c>
      <c r="H89" s="9" t="n">
        <v>350000</v>
      </c>
      <c r="I89" s="9" t="n">
        <v>115500000</v>
      </c>
    </row>
    <row r="90">
      <c r="A90" s="12" t="inlineStr">
        <is>
          <t>TOTAL PERMOHONAN PENGUATAN</t>
        </is>
      </c>
      <c r="B90" s="13" t="n"/>
      <c r="C90" s="13" t="n"/>
      <c r="D90" s="13" t="n"/>
      <c r="E90" s="13" t="n"/>
      <c r="F90" s="13" t="n"/>
      <c r="G90" s="14">
        <f>SUM(G2:G89)</f>
        <v/>
      </c>
      <c r="H90" s="13" t="n"/>
      <c r="I90" s="14">
        <f>SUM(I2:I89)</f>
        <v/>
      </c>
    </row>
  </sheetData>
  <dataValidations count="3">
    <dataValidation sqref="B2:B89" showDropDown="0" showInputMessage="0" showErrorMessage="0" allowBlank="1" type="list">
      <formula1>'_RefData'!$D$2:$D$3</formula1>
    </dataValidation>
    <dataValidation sqref="C2:C251 D2:D61 E2:E89" showDropDown="0" showInputMessage="0" showErrorMessage="0" allowBlank="1" type="list">
      <formula1>'_RefData'!$B$2:$B$5</formula1>
    </dataValidation>
    <dataValidation sqref="D2:D89 E2:E51 F2:F251" showDropDown="0" showInputMessage="0" showErrorMessage="0" allowBlank="1" type="list">
      <formula1>'_RefData'!$C$2:$C$29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7" customWidth="1" min="3" max="3"/>
    <col width="18" customWidth="1" min="4" max="4"/>
  </cols>
  <sheetData>
    <row r="1">
      <c r="A1" t="inlineStr">
        <is>
          <t>Sumber Pendanaan</t>
        </is>
      </c>
      <c r="B1" t="inlineStr">
        <is>
          <t>Kategori Barang</t>
        </is>
      </c>
      <c r="C1" t="inlineStr">
        <is>
          <t>Kab/Kota Jawa Barat</t>
        </is>
      </c>
      <c r="D1" t="inlineStr">
        <is>
          <t>Tahun Anggaran</t>
        </is>
      </c>
    </row>
    <row r="2">
      <c r="A2" t="inlineStr">
        <is>
          <t>APBN</t>
        </is>
      </c>
      <c r="B2" t="inlineStr">
        <is>
          <t>Sandang</t>
        </is>
      </c>
      <c r="C2" t="inlineStr">
        <is>
          <t>-</t>
        </is>
      </c>
      <c r="D2" t="n">
        <v>2025</v>
      </c>
    </row>
    <row r="3">
      <c r="A3" t="inlineStr">
        <is>
          <t>APBD</t>
        </is>
      </c>
      <c r="B3" t="inlineStr">
        <is>
          <t>Pangan</t>
        </is>
      </c>
      <c r="C3" t="inlineStr">
        <is>
          <t>Kabupaten Bandung</t>
        </is>
      </c>
      <c r="D3" t="n">
        <v>2026</v>
      </c>
    </row>
    <row r="4">
      <c r="A4" t="inlineStr">
        <is>
          <t>CSR</t>
        </is>
      </c>
      <c r="B4" t="inlineStr">
        <is>
          <t>Papan</t>
        </is>
      </c>
      <c r="C4" t="inlineStr">
        <is>
          <t>Kabupaten Bandung Barat</t>
        </is>
      </c>
    </row>
    <row r="5">
      <c r="B5" t="inlineStr">
        <is>
          <t>Logistik Lainnya</t>
        </is>
      </c>
      <c r="C5" t="inlineStr">
        <is>
          <t>Kabupaten Bekasi</t>
        </is>
      </c>
    </row>
    <row r="6">
      <c r="C6" t="inlineStr">
        <is>
          <t>Kabupaten Bogor</t>
        </is>
      </c>
    </row>
    <row r="7">
      <c r="C7" t="inlineStr">
        <is>
          <t>Kabupaten Ciamis</t>
        </is>
      </c>
    </row>
    <row r="8">
      <c r="C8" t="inlineStr">
        <is>
          <t>Kabupaten Cianjur</t>
        </is>
      </c>
    </row>
    <row r="9">
      <c r="C9" t="inlineStr">
        <is>
          <t>Kabupaten Cirebon</t>
        </is>
      </c>
    </row>
    <row r="10">
      <c r="C10" t="inlineStr">
        <is>
          <t>Kabupaten Garut</t>
        </is>
      </c>
    </row>
    <row r="11">
      <c r="C11" t="inlineStr">
        <is>
          <t>Kabupaten Indramayu</t>
        </is>
      </c>
    </row>
    <row r="12">
      <c r="C12" t="inlineStr">
        <is>
          <t>Kabupaten Karawang</t>
        </is>
      </c>
    </row>
    <row r="13">
      <c r="C13" t="inlineStr">
        <is>
          <t>Kabupaten Kuningan</t>
        </is>
      </c>
    </row>
    <row r="14">
      <c r="C14" t="inlineStr">
        <is>
          <t>Kabupaten Majalengka</t>
        </is>
      </c>
    </row>
    <row r="15">
      <c r="C15" t="inlineStr">
        <is>
          <t>Kabupaten Pangandaran</t>
        </is>
      </c>
    </row>
    <row r="16">
      <c r="C16" t="inlineStr">
        <is>
          <t>Kabupaten Purwakarta</t>
        </is>
      </c>
    </row>
    <row r="17">
      <c r="C17" t="inlineStr">
        <is>
          <t>Kabupaten Subang</t>
        </is>
      </c>
    </row>
    <row r="18">
      <c r="C18" t="inlineStr">
        <is>
          <t>Kabupaten Sukabumi</t>
        </is>
      </c>
    </row>
    <row r="19">
      <c r="C19" t="inlineStr">
        <is>
          <t>Kabupaten Sumedang</t>
        </is>
      </c>
    </row>
    <row r="20">
      <c r="C20" t="inlineStr">
        <is>
          <t>Kabupaten Tasikmalaya</t>
        </is>
      </c>
    </row>
    <row r="21">
      <c r="C21" t="inlineStr">
        <is>
          <t>Kota Bandung</t>
        </is>
      </c>
    </row>
    <row r="22">
      <c r="C22" t="inlineStr">
        <is>
          <t>Kota Banjar</t>
        </is>
      </c>
    </row>
    <row r="23">
      <c r="C23" t="inlineStr">
        <is>
          <t>Kota Bekasi</t>
        </is>
      </c>
    </row>
    <row r="24">
      <c r="C24" t="inlineStr">
        <is>
          <t>Kota Bogor</t>
        </is>
      </c>
    </row>
    <row r="25">
      <c r="C25" t="inlineStr">
        <is>
          <t>Kota Cimahi</t>
        </is>
      </c>
    </row>
    <row r="26">
      <c r="C26" t="inlineStr">
        <is>
          <t>Kota Cirebon</t>
        </is>
      </c>
    </row>
    <row r="27">
      <c r="C27" t="inlineStr">
        <is>
          <t>Kota Depok</t>
        </is>
      </c>
    </row>
    <row r="28">
      <c r="C28" t="inlineStr">
        <is>
          <t>Kota Sukabumi</t>
        </is>
      </c>
    </row>
    <row r="29">
      <c r="C29" t="inlineStr">
        <is>
          <t>Kota Tasikmalaya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2026-10-25T15:31:54Z</dcterms:created>
  <dcterms:modified xmlns:dcterms="http://purl.org/dc/terms/" xmlns:xsi="http://www.w3.org/2001/XMLSchema-instance" xsi:type="dcterms:W3CDTF">2026-10-25T15:31:54Z</dcterms:modified>
</cp:coreProperties>
</file>